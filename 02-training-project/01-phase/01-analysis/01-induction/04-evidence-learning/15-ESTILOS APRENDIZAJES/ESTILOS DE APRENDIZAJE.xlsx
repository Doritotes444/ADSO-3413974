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umentoEvaluación" sheetId="1" r:id="rId4"/>
    <sheet state="visible" name="DescripciónEstilos" sheetId="2" r:id="rId5"/>
    <sheet state="visible" name="CONSOLIDADO" sheetId="3" r:id="rId6"/>
  </sheets>
  <definedNames/>
  <calcPr/>
  <extLst>
    <ext uri="GoogleSheetsCustomDataVersion2">
      <go:sheetsCustomData xmlns:go="http://customooxmlschemas.google.com/" r:id="rId7" roundtripDataChecksum="7dpxSOp/QNihTFVebLJ+WidPMIb4x+VEqDnw1hbdJ3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4">
      <text>
        <t xml:space="preserve">======
ID#AAAB0QByLNA
Autor    (2026-02-14 02:27:44)
Características del Aprendiz Convergente
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t>
      </text>
    </comment>
    <comment authorId="0" ref="H57">
      <text>
        <t xml:space="preserve">======
ID#AAAB0QByLM8
Autor    (2026-02-14 02:27:44)
Características del Aprendiz Divergente
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t>
      </text>
    </comment>
    <comment authorId="0" ref="H51">
      <text>
        <t xml:space="preserve">======
ID#AAAB0QByLM4
Autor    (2026-02-14 02:27:44)
Características del Aprendiz Asimilador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text>
    </comment>
    <comment authorId="0" ref="H60">
      <text>
        <t xml:space="preserve">======
ID#AAAB0QByLM0
Autor    (2026-02-14 02:27:44)
Características del Aprendiz Acomodador
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t>
      </text>
    </comment>
  </commentList>
  <extLst>
    <ext uri="GoogleSheetsCustomDataVersion2">
      <go:sheetsCustomData xmlns:go="http://customooxmlschemas.google.com/" r:id="rId1" roundtripDataSignature="AMtx7mj7GHN0VpoSxWhI4JK01uR4+ICM+Q=="/>
    </ext>
  </extLst>
</comments>
</file>

<file path=xl/sharedStrings.xml><?xml version="1.0" encoding="utf-8"?>
<sst xmlns="http://schemas.openxmlformats.org/spreadsheetml/2006/main" count="191" uniqueCount="172">
  <si>
    <t>IDENTIFICACION ESTILOS DE APRENDIZAJE</t>
  </si>
  <si>
    <t>Número de identificación</t>
  </si>
  <si>
    <t>Programa de Formación</t>
  </si>
  <si>
    <t>Analisis y desarrollo de software</t>
  </si>
  <si>
    <t>Nombres completos</t>
  </si>
  <si>
    <t>Juan Pablo Doria Caviedes</t>
  </si>
  <si>
    <t xml:space="preserve">Fecha: </t>
  </si>
  <si>
    <t>N de Ficha</t>
  </si>
  <si>
    <t>Edad</t>
  </si>
  <si>
    <t>Para evaluar su estilo de aprendizaje presentamos grupos de 4 conceptos en cada fila (horizontal), que deberá señalar así:</t>
  </si>
  <si>
    <t>El estilo de aprendizaje que más se acerque al suyo</t>
  </si>
  <si>
    <t>El estilo de aprendizaje que lo sigue en orden decreciente</t>
  </si>
  <si>
    <t>El estilo de aprendizaje que menos se acerca al suyo</t>
  </si>
  <si>
    <r>
      <rPr>
        <rFont val="Arial"/>
        <b/>
        <color rgb="FF000000"/>
        <sz val="14.0"/>
      </rPr>
      <t>INSTRUCCIÓN</t>
    </r>
    <r>
      <rPr>
        <rFont val="Arial"/>
        <color rgb="FF000000"/>
        <sz val="14.0"/>
      </rPr>
      <t>: Debe completar los cuatro casilleros en cada fila sin repetir los números. Se incluye la valoración de manera  horizontal.</t>
    </r>
  </si>
  <si>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</si>
  <si>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</si>
  <si>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La pregunta a contestar es: ¿Cómo aprendo? Ó Cuando deseo aprender algo o resolver un problema, mis manera habitual de proceder podría calificarse de:</t>
  </si>
  <si>
    <t>EXPERIENCIA CONCRECTA</t>
  </si>
  <si>
    <t>OBSERVACIÓN REFLEXIVA</t>
  </si>
  <si>
    <t>CONCEPTUALIZACIÓN ABSTRACTA</t>
  </si>
  <si>
    <t>EXPERIMENTACIÓN ACTIVA</t>
  </si>
  <si>
    <t>Dimensiones del aprendizaje según David Kolb</t>
  </si>
  <si>
    <t xml:space="preserve">DICERNIMIENTO
Procedo por eliminación, trato de distinguir cuidadosamente los elementos más pertinentes. </t>
  </si>
  <si>
    <t>ENSAYANDO
Actúo por olfato, ensayo las cosas que se me ocurren, que se me vienen a la mente hasta que funciona</t>
  </si>
  <si>
    <t>INVOLUCRÁNDOME. 
Me involucro a fondo, trabajo con ardor, pongo mucho interés y energía.</t>
  </si>
  <si>
    <t>PRACTICANDO. 
Trato de hacerlo de manera satisfactoria, yendo de lo más corto, con un mínimo de tiempo y esfuerzo.</t>
  </si>
  <si>
    <t>Experiencia Concreta y Conceptualización abstracta</t>
  </si>
  <si>
    <t>Forma como el individuo organiza su trabajo</t>
  </si>
  <si>
    <t>Experimentación activa y Observación reflexiva</t>
  </si>
  <si>
    <t>Manera como el individuo se relaciona con el objeto de aprendizaje</t>
  </si>
  <si>
    <t xml:space="preserve">RECEPTIVAMENTE
Estoy concentrado plenamente en lo que sucede y disponible para recoger la mayor cantidad de elementos posible.
</t>
  </si>
  <si>
    <t>RELACIONANDO.
 Trato de ubicarme correctamente con relación a la pregunta o al problema que se presenta.</t>
  </si>
  <si>
    <t xml:space="preserve">ANALITICAMENTE.
Analizo la situación, tomo en consideración, uno a uno, los diferentes elementos que pueda identificar. </t>
  </si>
  <si>
    <t xml:space="preserve">IMPARCIALMENTE. 
Me esfuerzo por ser lo más objetivo posible, estudio la situación sin tomar partido ni prejuicios.
</t>
  </si>
  <si>
    <t>SINTIENDO. 
Pongo atención a lo que siento espontáneamente y a lo que soy dentro de la situación.</t>
  </si>
  <si>
    <t xml:space="preserve">OBSERVANDO. 
Observo atentamente lo que sucede y como se desarrolla
</t>
  </si>
  <si>
    <t>PENSANDO. 
Pienso y trato de comprender qué es lo que me presenta una dificultad, trato de encontrar una explicación a lo que me intriga</t>
  </si>
  <si>
    <t>HACIENDO. 
Paso rápidamente a la acción, hago de todo para resolver inmediatamente y de manera práctica el problema presentado.</t>
  </si>
  <si>
    <t>ACEPTANDO
Acepto la situación tal cual se presenta, admito incondicionalmente la realidad, parto de los hechos tal como son.</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</si>
  <si>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</si>
  <si>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</si>
  <si>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</si>
  <si>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</si>
  <si>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</si>
  <si>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</si>
  <si>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</si>
  <si>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</si>
  <si>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</si>
  <si>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</si>
  <si>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</si>
  <si>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</si>
  <si>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</si>
  <si>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</si>
  <si>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</si>
  <si>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</si>
  <si>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</si>
  <si>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</si>
  <si>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</si>
  <si>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AFECTIVAMENTE
Pongo toda mi atención sobre el tema o problema y reflexiono hasta llegar a una conclusión satisfactoria.</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</si>
  <si>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</si>
  <si>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</si>
  <si>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</si>
  <si>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TOTAL</t>
  </si>
  <si>
    <t>Conceptualización abstracta menos experiencia concreta</t>
  </si>
  <si>
    <t>X</t>
  </si>
  <si>
    <t>Experimentación activa menos observación reflexiva</t>
  </si>
  <si>
    <t>Y</t>
  </si>
  <si>
    <t>EXPERIENCIA CONCRETA</t>
  </si>
  <si>
    <t>EXPERIMEN TACIÓN ACTIVA</t>
  </si>
  <si>
    <t>ASIMILADOR</t>
  </si>
  <si>
    <t>Si X está entre 3 y 18, y entre 2 y -11</t>
  </si>
  <si>
    <t>CONVERGENTE</t>
  </si>
  <si>
    <t>Si X está entre 3 y 18 y Y entre 3 y 17.</t>
  </si>
  <si>
    <t>DIVERGENTE</t>
  </si>
  <si>
    <t>Si X está entre 2 y -12, y Y entre 2 y -12</t>
  </si>
  <si>
    <t>ACOMODADOR</t>
  </si>
  <si>
    <t>Al ubicarse sobre cada Estilo se despliega un resumen de sus características</t>
  </si>
  <si>
    <t>Si X está entre 2 y -12 y Y entre 3 y 17.</t>
  </si>
  <si>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</si>
  <si>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</si>
  <si>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Si bien no hay riesgos con esta persona de que incumpla con los trabajos, si puede perderse en actividades triviales. Puede desempeñarse muy bien en los carreras orientadas a la práctica como a las ventas y a la mercadotecnia.</t>
  </si>
  <si>
    <t>CARACTERÍSTICAS</t>
  </si>
  <si>
    <t>ESTRATEGIAS METODOLÓGICAS QUE PREFIERE</t>
  </si>
  <si>
    <t>Intuitivo, anticipa soluciones.</t>
  </si>
  <si>
    <t>Trabajos grupales.</t>
  </si>
  <si>
    <t>Observador, atento a los detalles.</t>
  </si>
  <si>
    <t>Ejercicios de imaginación.</t>
  </si>
  <si>
    <t>Capacidad de relacionar diversos contenidos</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</si>
  <si>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</si>
  <si>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</si>
  <si>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</si>
  <si>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</si>
  <si>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</si>
  <si>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</si>
  <si>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</si>
  <si>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Sociable, empático, abierto, espontáneo</t>
  </si>
  <si>
    <t>Gráficos ilustrativos sobre los contenidos.</t>
  </si>
  <si>
    <t>Acepta retos, impulsivo, orientado a la acción</t>
  </si>
  <si>
    <t>Actividades de periodismo, entrevistas.</t>
  </si>
  <si>
    <t>Busca objetivos, flexible, comprometido</t>
  </si>
  <si>
    <t>Elaborar metáforas sobre contenidos.</t>
  </si>
  <si>
    <t>Dependiente de los demás</t>
  </si>
  <si>
    <t>Hacerle utilizar el ensayo y error.</t>
  </si>
  <si>
    <t>Poca habilidad analítica</t>
  </si>
  <si>
    <r>
      <rPr>
        <rFont val="Verdana"/>
        <color theme="1"/>
        <sz val="11.0"/>
      </rP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rFont val="Trebuchet MS"/>
        <b/>
        <color rgb="FF000000"/>
        <sz val="7.0"/>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</si>
  <si>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</si>
  <si>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</si>
  <si>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</si>
  <si>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</si>
  <si>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</si>
  <si>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</si>
  <si>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</si>
  <si>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</si>
  <si>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</si>
  <si>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</si>
  <si>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</si>
  <si>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Capacidad de síntesis</t>
  </si>
  <si>
    <t>Realizar experimentos</t>
  </si>
  <si>
    <t>Genera ideas, soñador, espontáneo</t>
  </si>
  <si>
    <t>Construir mapas conceptuales</t>
  </si>
  <si>
    <t>Empático,abierto, emocional, intuitivo</t>
  </si>
  <si>
    <t>Flexible, valora la comprensión</t>
  </si>
  <si>
    <t>Disfruta el descubrimiento</t>
  </si>
  <si>
    <t>Orientado a las personas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</si>
  <si>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</si>
  <si>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</si>
  <si>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</si>
  <si>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t>Pragmático, racional, analítico, organizado</t>
  </si>
  <si>
    <r>
      <rPr>
        <rFont val="Times New Roman"/>
        <color rgb="FF000000"/>
        <sz val="12.0"/>
      </rPr>
      <t xml:space="preserve"> </t>
    </r>
    <r>
      <rPr>
        <rFont val="Trebuchet MS"/>
        <color rgb="FF000000"/>
        <sz val="12.0"/>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</si>
  <si>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</si>
  <si>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</si>
  <si>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</si>
  <si>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</si>
  <si>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</si>
  <si>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</si>
  <si>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</si>
  <si>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</si>
  <si>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</si>
  <si>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</si>
  <si>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Buen discriminador, orientado a la tarea</t>
  </si>
  <si>
    <t>Demostraciones prácticas.</t>
  </si>
  <si>
    <t>Disfruta aspectos técnicos</t>
  </si>
  <si>
    <t>Gusta de la experimentación</t>
  </si>
  <si>
    <t>Poco empático, hermético, poco sensible</t>
  </si>
  <si>
    <t>Poco imaginativo, deductivo, líder</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</si>
  <si>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</si>
  <si>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</si>
  <si>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Se desempeña bien en la planeación, informática y ciencias puras, creando modelos, difiniendo problemas, desarrollando y experimentando teorías. Prefiere las relaciones con las ideas que con la gente.</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</si>
  <si>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</si>
  <si>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</si>
  <si>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</si>
  <si>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</si>
  <si>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</si>
  <si>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</si>
  <si>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</si>
  <si>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</si>
  <si>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</si>
  <si>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</si>
  <si>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</si>
  <si>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</si>
  <si>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</si>
  <si>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</si>
  <si>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Le agrada trabajar de manera individual</t>
  </si>
  <si>
    <t>Pensador abstracto, planificador</t>
  </si>
  <si>
    <t>Investigador, capacidad de síntesis</t>
  </si>
  <si>
    <t>Genera modelos, disfruta la teoría y el diseño</t>
  </si>
  <si>
    <t>Fuente:</t>
  </si>
  <si>
    <t>http://www.rmm.cl/index_sub2.php?id_contenido=10497&amp;id_seccion=2816&amp;id_portal=432</t>
  </si>
  <si>
    <t>N°</t>
  </si>
  <si>
    <t>NOMBRE DEL APRENDIZ</t>
  </si>
  <si>
    <t>ESTILO DE APRENDIZAJE</t>
  </si>
  <si>
    <t>JUAN PABLO DORIA CAVIEDES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</si>
</sst>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2">
    <font>
      <sz val="11.0"/>
      <color theme="1"/>
      <name val="Calibri"/>
      <scheme val="minor"/>
    </font>
    <font>
      <b/>
      <sz val="20.0"/>
      <color theme="1"/>
      <name val="Arial"/>
    </font>
    <font>
      <sz val="11.0"/>
      <color theme="1"/>
      <name val="Arial"/>
    </font>
    <font>
      <b/>
      <sz val="12.0"/>
      <color theme="1"/>
      <name val="Arial"/>
    </font>
    <font>
      <b/>
      <sz val="11.0"/>
      <color theme="1"/>
      <name val="Arial"/>
    </font>
    <font/>
    <font>
      <sz val="10.0"/>
      <color theme="1"/>
      <name val="Arial"/>
    </font>
    <font>
      <sz val="14.0"/>
      <color theme="1"/>
      <name val="Arial"/>
    </font>
    <font>
      <b/>
      <sz val="13.0"/>
      <color theme="1"/>
      <name val="Arial"/>
    </font>
    <font>
      <sz val="13.0"/>
      <color theme="1"/>
      <name val="Arial"/>
    </font>
    <font>
      <sz val="14.0"/>
      <color rgb="FF000000"/>
      <name val="Arial"/>
    </font>
    <font>
      <sz val="11.0"/>
      <color theme="1"/>
      <name val="Calibri"/>
    </font>
    <font>
      <sz val="16.0"/>
      <color theme="1"/>
      <name val="Calibri"/>
    </font>
    <font>
      <b/>
      <sz val="11.0"/>
      <color theme="1"/>
      <name val="Calibri"/>
    </font>
    <font>
      <b/>
      <sz val="11.0"/>
      <color rgb="FFFF0000"/>
      <name val="Calibri"/>
    </font>
    <font>
      <sz val="12.0"/>
      <color theme="1"/>
      <name val="Arial"/>
    </font>
    <font>
      <sz val="13.0"/>
      <color theme="1"/>
      <name val="Calibri"/>
    </font>
    <font>
      <b/>
      <sz val="12.0"/>
      <color theme="1"/>
      <name val="Calibri"/>
    </font>
    <font>
      <b/>
      <sz val="11.0"/>
      <color rgb="FF1F497D"/>
      <name val="Cambria"/>
    </font>
    <font>
      <b/>
      <sz val="10.0"/>
      <color theme="1"/>
      <name val="Calibri"/>
    </font>
    <font>
      <b/>
      <sz val="14.0"/>
      <color rgb="FF000000"/>
      <name val="Calibri"/>
    </font>
    <font>
      <b/>
      <sz val="14.0"/>
      <color theme="0"/>
      <name val="Calibri"/>
    </font>
    <font>
      <sz val="11.0"/>
      <color rgb="FF000000"/>
      <name val="Calibri"/>
    </font>
    <font>
      <b/>
      <sz val="8.0"/>
      <color theme="1"/>
      <name val="Calibri"/>
    </font>
    <font>
      <b/>
      <sz val="10.0"/>
      <color rgb="FF000000"/>
      <name val="Calibri"/>
    </font>
    <font>
      <sz val="11.0"/>
      <color theme="0"/>
      <name val="Calibri"/>
    </font>
    <font>
      <sz val="15.0"/>
      <color theme="1"/>
      <name val="Calibri"/>
    </font>
    <font>
      <b/>
      <sz val="12.0"/>
      <color theme="1"/>
      <name val="Verdana"/>
    </font>
    <font>
      <i/>
      <sz val="11.0"/>
      <color theme="1"/>
      <name val="Calibri"/>
    </font>
    <font>
      <b/>
      <i/>
      <sz val="12.0"/>
      <color theme="1"/>
      <name val="Verdana"/>
    </font>
    <font>
      <sz val="11.0"/>
      <color theme="1"/>
      <name val="Verdana"/>
    </font>
    <font>
      <b/>
      <sz val="10.0"/>
      <color theme="1"/>
      <name val="Verdana"/>
    </font>
    <font>
      <sz val="11.0"/>
      <color rgb="FF000000"/>
      <name val="Trebuchet MS"/>
    </font>
    <font>
      <b/>
      <sz val="12.0"/>
      <color rgb="FFFFFF00"/>
      <name val="Verdana"/>
    </font>
    <font>
      <sz val="10.0"/>
      <color rgb="FF000000"/>
      <name val="Trebuchet MS"/>
    </font>
    <font>
      <sz val="11.0"/>
      <color rgb="FF000000"/>
      <name val="Verdana"/>
    </font>
    <font>
      <sz val="12.0"/>
      <color rgb="FF000000"/>
      <name val="Verdana"/>
    </font>
    <font>
      <b/>
      <sz val="11.0"/>
      <color rgb="FF000000"/>
      <name val="Verdana"/>
    </font>
    <font>
      <sz val="12.0"/>
      <color rgb="FF000000"/>
      <name val="Trebuchet MS"/>
    </font>
    <font>
      <b/>
      <sz val="12.0"/>
      <color rgb="FF5F497A"/>
      <name val="Verdana"/>
    </font>
    <font>
      <b/>
      <sz val="11.0"/>
      <color rgb="FFE36C09"/>
      <name val="Verdana"/>
    </font>
    <font>
      <u/>
      <sz val="11.0"/>
      <color theme="10"/>
      <name val="Calibri"/>
    </font>
  </fonts>
  <fills count="12">
    <fill>
      <patternFill patternType="none"/>
    </fill>
    <fill>
      <patternFill patternType="lightGray"/>
    </fill>
    <fill>
      <patternFill patternType="solid">
        <fgColor rgb="FFE36C09"/>
        <bgColor rgb="FFE36C09"/>
      </patternFill>
    </fill>
    <fill>
      <patternFill patternType="solid">
        <fgColor rgb="FF76923C"/>
        <bgColor rgb="FF76923C"/>
      </patternFill>
    </fill>
    <fill>
      <patternFill patternType="solid">
        <fgColor rgb="FF92CDDC"/>
        <bgColor rgb="FF92CDDC"/>
      </patternFill>
    </fill>
    <fill>
      <patternFill patternType="solid">
        <fgColor rgb="FFB2A1C7"/>
        <bgColor rgb="FFB2A1C7"/>
      </patternFill>
    </fill>
    <fill>
      <patternFill patternType="solid">
        <fgColor rgb="FFC0C0C0"/>
        <bgColor rgb="FFC0C0C0"/>
      </patternFill>
    </fill>
    <fill>
      <patternFill patternType="solid">
        <fgColor rgb="FF339966"/>
        <bgColor rgb="FF339966"/>
      </patternFill>
    </fill>
    <fill>
      <patternFill patternType="solid">
        <fgColor theme="6"/>
        <bgColor theme="6"/>
      </patternFill>
    </fill>
    <fill>
      <patternFill patternType="solid">
        <fgColor rgb="FF333399"/>
        <bgColor rgb="FF333399"/>
      </patternFill>
    </fill>
    <fill>
      <patternFill patternType="solid">
        <fgColor theme="4"/>
        <bgColor theme="4"/>
      </patternFill>
    </fill>
    <fill>
      <patternFill patternType="solid">
        <fgColor rgb="FFFF6600"/>
        <bgColor rgb="FFFF6600"/>
      </patternFill>
    </fill>
  </fills>
  <borders count="1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right/>
      <top/>
      <bottom/>
    </border>
    <border>
      <left/>
      <right/>
      <top/>
    </border>
    <border>
      <left/>
      <right/>
      <bottom/>
    </border>
    <border>
      <left/>
      <top/>
      <bottom/>
    </border>
    <border>
      <top/>
      <bottom/>
    </border>
    <border>
      <right/>
      <top/>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horizontal="center" shrinkToFit="0" vertical="bottom" wrapText="0"/>
    </xf>
    <xf borderId="1" fillId="0" fontId="4" numFmtId="0" xfId="0" applyAlignment="1" applyBorder="1" applyFont="1">
      <alignment horizontal="left" shrinkToFit="0" vertical="bottom" wrapText="0"/>
    </xf>
    <xf borderId="2" fillId="0" fontId="5" numFmtId="0" xfId="0" applyBorder="1" applyFont="1"/>
    <xf borderId="1" fillId="0" fontId="2" numFmtId="0" xfId="0" applyAlignment="1" applyBorder="1" applyFont="1">
      <alignment horizontal="center" readingOrder="0" shrinkToFit="0" vertical="bottom" wrapText="0"/>
    </xf>
    <xf borderId="1" fillId="0" fontId="4" numFmtId="0" xfId="0" applyAlignment="1" applyBorder="1" applyFont="1">
      <alignment horizontal="center" shrinkToFit="0" vertical="bottom" wrapText="0"/>
    </xf>
    <xf borderId="0" fillId="0" fontId="6" numFmtId="0" xfId="0" applyAlignment="1" applyFont="1">
      <alignment horizontal="left" shrinkToFit="0" vertical="bottom" wrapText="0"/>
    </xf>
    <xf borderId="1" fillId="0" fontId="2" numFmtId="164" xfId="0" applyAlignment="1" applyBorder="1" applyFont="1" applyNumberFormat="1">
      <alignment horizontal="center" readingOrder="0" shrinkToFit="0" vertical="bottom" wrapText="0"/>
    </xf>
    <xf borderId="1" fillId="0" fontId="4" numFmtId="0" xfId="0" applyAlignment="1" applyBorder="1" applyFont="1">
      <alignment horizontal="left" readingOrder="0" shrinkToFit="0" vertical="bottom" wrapText="0"/>
    </xf>
    <xf borderId="0" fillId="0" fontId="7" numFmtId="0" xfId="0" applyAlignment="1" applyFont="1">
      <alignment shrinkToFit="0" vertical="center" wrapText="1"/>
    </xf>
    <xf borderId="0" fillId="0" fontId="2" numFmtId="0" xfId="0" applyAlignment="1" applyFont="1">
      <alignment shrinkToFit="0" vertical="center" wrapText="1"/>
    </xf>
    <xf borderId="3" fillId="0" fontId="8" numFmtId="0" xfId="0" applyAlignment="1" applyBorder="1" applyFont="1">
      <alignment horizontal="center" shrinkToFit="0" vertical="center" wrapText="1"/>
    </xf>
    <xf borderId="1" fillId="0" fontId="9" numFmtId="0" xfId="0" applyAlignment="1" applyBorder="1" applyFont="1">
      <alignment shrinkToFit="0" vertical="center" wrapText="1"/>
    </xf>
    <xf borderId="4" fillId="0" fontId="5" numFmtId="0" xfId="0" applyBorder="1" applyFont="1"/>
    <xf borderId="0" fillId="0" fontId="4" numFmtId="0" xfId="0" applyAlignment="1" applyFont="1">
      <alignment horizontal="center" shrinkToFit="0" vertical="center" wrapText="1"/>
    </xf>
    <xf borderId="0" fillId="0" fontId="10" numFmtId="0" xfId="0" applyAlignment="1" applyFont="1">
      <alignment shrinkToFit="0" vertical="center"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5" fillId="0" fontId="13" numFmtId="0" xfId="0" applyAlignment="1" applyBorder="1" applyFont="1">
      <alignment horizontal="center" shrinkToFit="0" vertical="center" wrapText="1"/>
    </xf>
    <xf borderId="6" fillId="0" fontId="5" numFmtId="0" xfId="0" applyBorder="1" applyFont="1"/>
    <xf borderId="7" fillId="0" fontId="13" numFmtId="0" xfId="0" applyAlignment="1" applyBorder="1" applyFont="1">
      <alignment horizontal="center" shrinkToFit="0" vertical="center" wrapText="1"/>
    </xf>
    <xf borderId="3" fillId="0" fontId="11" numFmtId="0" xfId="0" applyAlignment="1" applyBorder="1" applyFont="1">
      <alignment shrinkToFit="0" vertical="bottom" wrapText="0"/>
    </xf>
    <xf borderId="3" fillId="0" fontId="13" numFmtId="0" xfId="0" applyAlignment="1" applyBorder="1" applyFont="1">
      <alignment shrinkToFit="0" vertical="center" wrapText="1"/>
    </xf>
    <xf borderId="0" fillId="0" fontId="11" numFmtId="0" xfId="0" applyAlignment="1" applyFont="1">
      <alignment shrinkToFit="0" vertical="bottom" wrapText="1"/>
    </xf>
    <xf borderId="0" fillId="0" fontId="13" numFmtId="0" xfId="0" applyAlignment="1" applyFont="1">
      <alignment horizontal="center" shrinkToFit="0" vertical="center" wrapText="1"/>
    </xf>
    <xf borderId="8" fillId="0" fontId="14" numFmtId="0" xfId="0" applyAlignment="1" applyBorder="1" applyFont="1">
      <alignment horizontal="center" readingOrder="0" shrinkToFit="0" vertical="center" wrapText="1"/>
    </xf>
    <xf borderId="9" fillId="0" fontId="15" numFmtId="0" xfId="0" applyAlignment="1" applyBorder="1" applyFont="1">
      <alignment shrinkToFit="0" vertical="center" wrapText="1"/>
    </xf>
    <xf borderId="3" fillId="0" fontId="11" numFmtId="0" xfId="0" applyAlignment="1" applyBorder="1" applyFont="1">
      <alignment shrinkToFit="0" vertical="bottom" wrapText="1"/>
    </xf>
    <xf borderId="10" fillId="0" fontId="5" numFmtId="0" xfId="0" applyBorder="1" applyFont="1"/>
    <xf borderId="11" fillId="0" fontId="5" numFmtId="0" xfId="0" applyBorder="1" applyFont="1"/>
    <xf borderId="0" fillId="0" fontId="13" numFmtId="0" xfId="0" applyAlignment="1" applyFont="1">
      <alignment horizontal="center" readingOrder="0" shrinkToFit="0" vertical="center" wrapText="1"/>
    </xf>
    <xf borderId="0" fillId="0" fontId="13" numFmtId="0" xfId="0" applyAlignment="1" applyFont="1">
      <alignment horizontal="center" shrinkToFit="0" vertical="bottom" wrapText="0"/>
    </xf>
    <xf borderId="0" fillId="0" fontId="13" numFmtId="0" xfId="0" applyAlignment="1" applyFont="1">
      <alignment shrinkToFit="0" vertical="bottom" wrapText="0"/>
    </xf>
    <xf borderId="0" fillId="0" fontId="14" numFmtId="0" xfId="0" applyAlignment="1" applyFont="1">
      <alignment shrinkToFit="0" vertical="bottom" wrapText="0"/>
    </xf>
    <xf borderId="0" fillId="0" fontId="14" numFmtId="0" xfId="0" applyAlignment="1" applyFont="1">
      <alignment horizontal="center" shrinkToFit="0" vertical="bottom" wrapText="0"/>
    </xf>
    <xf borderId="1" fillId="0" fontId="16" numFmtId="0" xfId="0" applyAlignment="1" applyBorder="1" applyFont="1">
      <alignment horizontal="left" shrinkToFit="0" vertical="bottom" wrapText="1"/>
    </xf>
    <xf borderId="3" fillId="0" fontId="16" numFmtId="0" xfId="0" applyAlignment="1" applyBorder="1" applyFont="1">
      <alignment horizontal="center" shrinkToFit="0" vertical="bottom" wrapText="0"/>
    </xf>
    <xf borderId="3" fillId="0" fontId="17" numFmtId="0" xfId="0" applyAlignment="1" applyBorder="1" applyFont="1">
      <alignment horizontal="center" shrinkToFit="0" vertical="center" wrapText="1"/>
    </xf>
    <xf borderId="0" fillId="0" fontId="18" numFmtId="0" xfId="0" applyAlignment="1" applyFont="1">
      <alignment horizontal="center" shrinkToFit="0" vertical="center" wrapText="1"/>
    </xf>
    <xf borderId="0" fillId="0" fontId="4" numFmtId="0" xfId="0" applyAlignment="1" applyFont="1">
      <alignment shrinkToFit="0" vertical="center" wrapText="1"/>
    </xf>
    <xf borderId="12" fillId="2" fontId="11" numFmtId="0" xfId="0" applyAlignment="1" applyBorder="1" applyFill="1" applyFont="1">
      <alignment horizontal="center" shrinkToFit="0" vertical="bottom" wrapText="0"/>
    </xf>
    <xf borderId="12" fillId="3" fontId="11" numFmtId="0" xfId="0" applyAlignment="1" applyBorder="1" applyFill="1" applyFont="1">
      <alignment horizontal="center" shrinkToFit="0" vertical="bottom" wrapText="0"/>
    </xf>
    <xf borderId="12" fillId="4" fontId="11" numFmtId="0" xfId="0" applyAlignment="1" applyBorder="1" applyFill="1" applyFont="1">
      <alignment horizontal="center" shrinkToFit="0" vertical="bottom" wrapText="0"/>
    </xf>
    <xf borderId="12" fillId="5" fontId="11" numFmtId="0" xfId="0" applyAlignment="1" applyBorder="1" applyFill="1" applyFont="1">
      <alignment horizontal="center" shrinkToFit="0" vertical="bottom" wrapText="0"/>
    </xf>
    <xf borderId="0" fillId="0" fontId="19" numFmtId="0" xfId="0" applyAlignment="1" applyFont="1">
      <alignment horizontal="center" shrinkToFit="0" vertical="bottom" wrapText="1"/>
    </xf>
    <xf borderId="12" fillId="6" fontId="20" numFmtId="0" xfId="0" applyAlignment="1" applyBorder="1" applyFill="1" applyFont="1">
      <alignment horizontal="center" shrinkToFit="0" vertical="bottom" wrapText="1"/>
    </xf>
    <xf borderId="0" fillId="0" fontId="20" numFmtId="0" xfId="0" applyAlignment="1" applyFont="1">
      <alignment shrinkToFit="0" vertical="bottom" wrapText="0"/>
    </xf>
    <xf borderId="0" fillId="0" fontId="21" numFmtId="0" xfId="0" applyAlignment="1" applyFont="1">
      <alignment horizontal="center" shrinkToFit="0" vertical="bottom" wrapText="0"/>
    </xf>
    <xf borderId="0" fillId="0" fontId="22" numFmtId="0" xfId="0" applyAlignment="1" applyFont="1">
      <alignment shrinkToFit="0" vertical="bottom" wrapText="0"/>
    </xf>
    <xf borderId="13" fillId="5" fontId="21" numFmtId="0" xfId="0" applyAlignment="1" applyBorder="1" applyFont="1">
      <alignment horizontal="center" shrinkToFit="0" vertical="center" wrapText="0"/>
    </xf>
    <xf borderId="0" fillId="0" fontId="23" numFmtId="0" xfId="0" applyAlignment="1" applyFont="1">
      <alignment horizontal="center" shrinkToFit="0" vertical="bottom" wrapText="0"/>
    </xf>
    <xf borderId="12" fillId="6" fontId="24" numFmtId="0" xfId="0" applyAlignment="1" applyBorder="1" applyFont="1">
      <alignment horizontal="center" shrinkToFit="0" vertical="bottom" wrapText="1"/>
    </xf>
    <xf borderId="14" fillId="0" fontId="5" numFmtId="0" xfId="0" applyBorder="1" applyFont="1"/>
    <xf borderId="0" fillId="0" fontId="21" numFmtId="0" xfId="0" applyAlignment="1" applyFont="1">
      <alignment shrinkToFit="0" vertical="bottom" wrapText="0"/>
    </xf>
    <xf borderId="0" fillId="0" fontId="25" numFmtId="0" xfId="0" applyAlignment="1" applyFont="1">
      <alignment shrinkToFit="0" vertical="bottom" wrapText="0"/>
    </xf>
    <xf borderId="12" fillId="7" fontId="20" numFmtId="0" xfId="0" applyAlignment="1" applyBorder="1" applyFill="1" applyFont="1">
      <alignment horizontal="center" shrinkToFit="0" vertical="bottom" wrapText="0"/>
    </xf>
    <xf borderId="13" fillId="8" fontId="21" numFmtId="0" xfId="0" applyAlignment="1" applyBorder="1" applyFill="1" applyFont="1">
      <alignment horizontal="center" shrinkToFit="0" vertical="center" wrapText="0"/>
    </xf>
    <xf borderId="12" fillId="7" fontId="24" numFmtId="0" xfId="0" applyAlignment="1" applyBorder="1" applyFont="1">
      <alignment horizontal="center" shrinkToFit="0" vertical="bottom" wrapText="1"/>
    </xf>
    <xf borderId="12" fillId="9" fontId="20" numFmtId="0" xfId="0" applyAlignment="1" applyBorder="1" applyFill="1" applyFont="1">
      <alignment horizontal="center" shrinkToFit="0" vertical="bottom" wrapText="0"/>
    </xf>
    <xf borderId="13" fillId="10" fontId="21" numFmtId="0" xfId="0" applyAlignment="1" applyBorder="1" applyFill="1" applyFont="1">
      <alignment horizontal="center" shrinkToFit="0" vertical="center" wrapText="0"/>
    </xf>
    <xf borderId="12" fillId="9" fontId="24" numFmtId="0" xfId="0" applyAlignment="1" applyBorder="1" applyFont="1">
      <alignment horizontal="center" shrinkToFit="0" vertical="bottom" wrapText="1"/>
    </xf>
    <xf borderId="12" fillId="11" fontId="20" numFmtId="0" xfId="0" applyAlignment="1" applyBorder="1" applyFill="1" applyFont="1">
      <alignment horizontal="center" shrinkToFit="0" vertical="bottom" wrapText="0"/>
    </xf>
    <xf borderId="13" fillId="2" fontId="21" numFmtId="0" xfId="0" applyAlignment="1" applyBorder="1" applyFont="1">
      <alignment horizontal="center" shrinkToFit="0" vertical="center" wrapText="1"/>
    </xf>
    <xf borderId="0" fillId="0" fontId="26" numFmtId="0" xfId="0" applyAlignment="1" applyFont="1">
      <alignment shrinkToFit="0" vertical="bottom" wrapText="1"/>
    </xf>
    <xf borderId="12" fillId="11" fontId="24" numFmtId="0" xfId="0" applyAlignment="1" applyBorder="1" applyFont="1">
      <alignment horizontal="center" shrinkToFit="0" vertical="bottom" wrapText="1"/>
    </xf>
    <xf borderId="0" fillId="0" fontId="26" numFmtId="0" xfId="0" applyAlignment="1" applyFont="1">
      <alignment shrinkToFit="0" vertical="bottom" wrapText="0"/>
    </xf>
    <xf borderId="15" fillId="2" fontId="27" numFmtId="0" xfId="0" applyAlignment="1" applyBorder="1" applyFont="1">
      <alignment horizontal="left" shrinkToFit="0" vertical="bottom" wrapText="0"/>
    </xf>
    <xf borderId="16" fillId="0" fontId="5" numFmtId="0" xfId="0" applyBorder="1" applyFont="1"/>
    <xf borderId="17" fillId="0" fontId="5" numFmtId="0" xfId="0" applyBorder="1" applyFont="1"/>
    <xf borderId="0" fillId="0" fontId="27" numFmtId="0" xfId="0" applyAlignment="1" applyFont="1">
      <alignment horizontal="left" shrinkToFit="0" vertical="bottom" wrapText="0"/>
    </xf>
    <xf borderId="0" fillId="0" fontId="28" numFmtId="0" xfId="0" applyAlignment="1" applyFont="1">
      <alignment shrinkToFit="0" vertical="bottom" wrapText="0"/>
    </xf>
    <xf borderId="0" fillId="0" fontId="29" numFmtId="0" xfId="0" applyAlignment="1" applyFont="1">
      <alignment horizontal="left" shrinkToFit="0" vertical="bottom" wrapText="0"/>
    </xf>
    <xf borderId="0" fillId="0" fontId="30" numFmtId="0" xfId="0" applyAlignment="1" applyFont="1">
      <alignment shrinkToFit="0" vertical="bottom" wrapText="0"/>
    </xf>
    <xf borderId="0" fillId="0" fontId="30" numFmtId="0" xfId="0" applyAlignment="1" applyFont="1">
      <alignment shrinkToFit="0" vertical="center" wrapText="1"/>
    </xf>
    <xf borderId="0" fillId="0" fontId="31" numFmtId="0" xfId="0" applyAlignment="1" applyFont="1">
      <alignment horizontal="left" shrinkToFit="0" vertical="center" wrapText="1"/>
    </xf>
    <xf borderId="0" fillId="0" fontId="32" numFmtId="0" xfId="0" applyAlignment="1" applyFont="1">
      <alignment horizontal="left" shrinkToFit="0" vertical="bottom" wrapText="0"/>
    </xf>
    <xf borderId="0" fillId="0" fontId="30" numFmtId="0" xfId="0" applyAlignment="1" applyFont="1">
      <alignment horizontal="left" shrinkToFit="0" vertical="center" wrapText="1"/>
    </xf>
    <xf borderId="0" fillId="0" fontId="32" numFmtId="0" xfId="0" applyAlignment="1" applyFont="1">
      <alignment horizontal="left" shrinkToFit="0" vertical="bottom" wrapText="1"/>
    </xf>
    <xf borderId="15" fillId="3" fontId="33" numFmtId="0" xfId="0" applyAlignment="1" applyBorder="1" applyFont="1">
      <alignment horizontal="left" shrinkToFit="0" vertical="bottom" wrapText="0"/>
    </xf>
    <xf borderId="0" fillId="0" fontId="30" numFmtId="0" xfId="0" applyAlignment="1" applyFont="1">
      <alignment horizontal="center" shrinkToFit="0" vertical="center" wrapText="1"/>
    </xf>
    <xf borderId="0" fillId="0" fontId="31" numFmtId="0" xfId="0" applyAlignment="1" applyFont="1">
      <alignment horizontal="left" shrinkToFit="0" vertical="center" wrapText="0"/>
    </xf>
    <xf borderId="0" fillId="0" fontId="34" numFmtId="0" xfId="0" applyAlignment="1" applyFont="1">
      <alignment horizontal="left" shrinkToFit="0" vertical="bottom" wrapText="0"/>
    </xf>
    <xf borderId="0" fillId="0" fontId="35" numFmtId="0" xfId="0" applyAlignment="1" applyFont="1">
      <alignment horizontal="left" shrinkToFit="0" vertical="bottom" wrapText="0"/>
    </xf>
    <xf borderId="12" fillId="4" fontId="27" numFmtId="0" xfId="0" applyAlignment="1" applyBorder="1" applyFont="1">
      <alignment horizontal="left" shrinkToFit="0" vertical="bottom" wrapText="0"/>
    </xf>
    <xf borderId="0" fillId="0" fontId="35" numFmtId="0" xfId="0" applyAlignment="1" applyFont="1">
      <alignment horizontal="left" shrinkToFit="0" vertical="center" wrapText="1"/>
    </xf>
    <xf borderId="0" fillId="0" fontId="11" numFmtId="0" xfId="0" applyAlignment="1" applyFont="1">
      <alignment horizontal="left" shrinkToFit="0" vertical="bottom" wrapText="0"/>
    </xf>
    <xf borderId="0" fillId="0" fontId="31" numFmtId="0" xfId="0" applyAlignment="1" applyFont="1">
      <alignment horizontal="center" shrinkToFit="0" vertical="center" wrapText="1"/>
    </xf>
    <xf borderId="0" fillId="0" fontId="36" numFmtId="0" xfId="0" applyAlignment="1" applyFont="1">
      <alignment horizontal="left" shrinkToFit="0" vertical="bottom" wrapText="0"/>
    </xf>
    <xf borderId="0" fillId="0" fontId="37" numFmtId="0" xfId="0" applyAlignment="1" applyFont="1">
      <alignment horizontal="left" shrinkToFit="0" vertical="bottom" wrapText="0"/>
    </xf>
    <xf borderId="0" fillId="0" fontId="38" numFmtId="0" xfId="0" applyAlignment="1" applyFont="1">
      <alignment horizontal="left" shrinkToFit="0" vertical="bottom" wrapText="0"/>
    </xf>
    <xf borderId="12" fillId="4" fontId="39" numFmtId="0" xfId="0" applyAlignment="1" applyBorder="1" applyFont="1">
      <alignment horizontal="left" shrinkToFit="0" vertical="bottom" wrapText="0"/>
    </xf>
    <xf borderId="0" fillId="0" fontId="35" numFmtId="0" xfId="0" applyAlignment="1" applyFont="1">
      <alignment horizontal="left" shrinkToFit="0" vertical="bottom" wrapText="1"/>
    </xf>
    <xf borderId="0" fillId="0" fontId="35" numFmtId="0" xfId="0" applyAlignment="1" applyFont="1">
      <alignment horizontal="center" shrinkToFit="0" vertical="bottom" wrapText="1"/>
    </xf>
    <xf borderId="0" fillId="0" fontId="40" numFmtId="0" xfId="0" applyAlignment="1" applyFont="1">
      <alignment horizontal="center" shrinkToFit="0" vertical="bottom" wrapText="0"/>
    </xf>
    <xf borderId="0" fillId="0" fontId="41" numFmtId="0" xfId="0" applyAlignment="1" applyFont="1">
      <alignment shrinkToFit="0" vertical="bottom" wrapText="0"/>
    </xf>
    <xf borderId="3" fillId="0" fontId="13" numFmtId="0" xfId="0" applyAlignment="1" applyBorder="1" applyFont="1">
      <alignment horizontal="center" shrinkToFit="0" vertical="center" wrapText="0"/>
    </xf>
    <xf borderId="3" fillId="0" fontId="11" numFmtId="0" xfId="0" applyAlignment="1" applyBorder="1" applyFont="1">
      <alignment readingOrder="0"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304800</xdr:colOff>
      <xdr:row>23</xdr:row>
      <xdr:rowOff>104775</xdr:rowOff>
    </xdr:from>
    <xdr:ext cx="790575" cy="361950"/>
    <xdr:sp>
      <xdr:nvSpPr>
        <xdr:cNvPr id="3" name="Shape 3"/>
        <xdr:cNvSpPr/>
      </xdr:nvSpPr>
      <xdr:spPr>
        <a:xfrm>
          <a:off x="4960238" y="3608550"/>
          <a:ext cx="771525" cy="342900"/>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23</xdr:row>
      <xdr:rowOff>57150</xdr:rowOff>
    </xdr:from>
    <xdr:ext cx="409575" cy="161925"/>
    <xdr:sp>
      <xdr:nvSpPr>
        <xdr:cNvPr id="4" name="Shape 4"/>
        <xdr:cNvSpPr/>
      </xdr:nvSpPr>
      <xdr:spPr>
        <a:xfrm>
          <a:off x="5150738" y="3708563"/>
          <a:ext cx="390525" cy="142875"/>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24</xdr:row>
      <xdr:rowOff>47625</xdr:rowOff>
    </xdr:from>
    <xdr:ext cx="409575" cy="171450"/>
    <xdr:sp>
      <xdr:nvSpPr>
        <xdr:cNvPr id="5" name="Shape 5"/>
        <xdr:cNvSpPr/>
      </xdr:nvSpPr>
      <xdr:spPr>
        <a:xfrm>
          <a:off x="5150738" y="3703800"/>
          <a:ext cx="390525" cy="152400"/>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1247775</xdr:colOff>
      <xdr:row>53</xdr:row>
      <xdr:rowOff>200025</xdr:rowOff>
    </xdr:from>
    <xdr:ext cx="1266825" cy="295275"/>
    <xdr:sp>
      <xdr:nvSpPr>
        <xdr:cNvPr id="6" name="Shape 6"/>
        <xdr:cNvSpPr/>
      </xdr:nvSpPr>
      <xdr:spPr>
        <a:xfrm>
          <a:off x="4717350" y="3637125"/>
          <a:ext cx="1257300" cy="2857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000000"/>
              </a:solidFill>
              <a:latin typeface="Calibri"/>
              <a:ea typeface="Calibri"/>
              <a:cs typeface="Calibri"/>
              <a:sym typeface="Calibri"/>
            </a:rPr>
            <a:t>ACOMODADOR</a:t>
          </a:r>
          <a:endParaRPr sz="1400"/>
        </a:p>
      </xdr:txBody>
    </xdr:sp>
    <xdr:clientData fLocksWithSheet="0"/>
  </xdr:oneCellAnchor>
  <xdr:oneCellAnchor>
    <xdr:from>
      <xdr:col>12</xdr:col>
      <xdr:colOff>638175</xdr:colOff>
      <xdr:row>53</xdr:row>
      <xdr:rowOff>180975</xdr:rowOff>
    </xdr:from>
    <xdr:ext cx="1009650" cy="247650"/>
    <xdr:sp>
      <xdr:nvSpPr>
        <xdr:cNvPr id="7" name="Shape 7"/>
        <xdr:cNvSpPr/>
      </xdr:nvSpPr>
      <xdr:spPr>
        <a:xfrm>
          <a:off x="4845938" y="3660938"/>
          <a:ext cx="1000125" cy="2381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Calibri"/>
              <a:ea typeface="Calibri"/>
              <a:cs typeface="Calibri"/>
              <a:sym typeface="Calibri"/>
            </a:rPr>
            <a:t>DIVERGENTE</a:t>
          </a:r>
          <a:endParaRPr sz="1400"/>
        </a:p>
      </xdr:txBody>
    </xdr:sp>
    <xdr:clientData fLocksWithSheet="0"/>
  </xdr:oneCellAnchor>
  <xdr:oneCellAnchor>
    <xdr:from>
      <xdr:col>8</xdr:col>
      <xdr:colOff>276225</xdr:colOff>
      <xdr:row>56</xdr:row>
      <xdr:rowOff>95250</xdr:rowOff>
    </xdr:from>
    <xdr:ext cx="771525" cy="352425"/>
    <xdr:sp>
      <xdr:nvSpPr>
        <xdr:cNvPr id="8" name="Shape 8"/>
        <xdr:cNvSpPr/>
      </xdr:nvSpPr>
      <xdr:spPr>
        <a:xfrm rot="10800000">
          <a:off x="4974525" y="3618075"/>
          <a:ext cx="742950" cy="323850"/>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www.rmm.cl/index_sub2.php?id_contenido=10497&amp;id_seccion=2816&amp;id_portal=43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6"/>
    <col customWidth="1" min="3" max="3" width="5.57"/>
    <col customWidth="1" min="4" max="4" width="25.14"/>
    <col customWidth="1" min="5" max="5" width="5.57"/>
    <col customWidth="1" min="6" max="6" width="26.86"/>
    <col customWidth="1" min="7" max="7" width="5.57"/>
    <col customWidth="1" min="8" max="8" width="29.0"/>
    <col customWidth="1" min="9" max="9" width="5.57"/>
    <col customWidth="1" min="10" max="10" width="26.0"/>
    <col customWidth="1" min="11" max="11" width="23.43"/>
    <col customWidth="1" min="12" max="12" width="22.57"/>
    <col customWidth="1" min="13" max="13" width="28.43"/>
    <col customWidth="1" min="14" max="14" width="23.43"/>
    <col customWidth="1" min="15" max="26" width="10.0"/>
  </cols>
  <sheetData>
    <row r="1" ht="22.5" customHeight="1"/>
    <row r="2" ht="22.5" customHeight="1">
      <c r="B2" s="1" t="s">
        <v>0</v>
      </c>
    </row>
    <row r="3" ht="22.5" customHeight="1">
      <c r="B3" s="2"/>
      <c r="C3" s="2"/>
      <c r="D3" s="2"/>
      <c r="E3" s="2"/>
      <c r="F3" s="2"/>
      <c r="G3" s="2"/>
      <c r="H3" s="2"/>
      <c r="I3" s="2"/>
      <c r="J3" s="2"/>
    </row>
    <row r="4" ht="22.5" customHeight="1">
      <c r="B4" s="3"/>
      <c r="C4" s="4" t="s">
        <v>1</v>
      </c>
      <c r="D4" s="5"/>
      <c r="E4" s="6">
        <v>1.013124448E9</v>
      </c>
      <c r="F4" s="5"/>
      <c r="G4" s="7" t="s">
        <v>2</v>
      </c>
      <c r="H4" s="5"/>
      <c r="I4" s="6" t="s">
        <v>3</v>
      </c>
      <c r="J4" s="5"/>
    </row>
    <row r="5" ht="22.5" customHeight="1">
      <c r="B5" s="8"/>
      <c r="C5" s="4" t="s">
        <v>4</v>
      </c>
      <c r="D5" s="5"/>
      <c r="E5" s="6" t="s">
        <v>5</v>
      </c>
      <c r="F5" s="5"/>
      <c r="G5" s="7" t="s">
        <v>6</v>
      </c>
      <c r="H5" s="5"/>
      <c r="I5" s="9">
        <v>46066.0</v>
      </c>
      <c r="J5" s="5"/>
    </row>
    <row r="6" ht="22.5" customHeight="1">
      <c r="B6" s="8"/>
      <c r="C6" s="10" t="s">
        <v>7</v>
      </c>
      <c r="D6" s="5"/>
      <c r="E6" s="6">
        <v>3413974.0</v>
      </c>
      <c r="F6" s="5"/>
      <c r="G6" s="7" t="s">
        <v>8</v>
      </c>
      <c r="H6" s="5"/>
      <c r="I6" s="6">
        <v>17.0</v>
      </c>
      <c r="J6" s="5"/>
    </row>
    <row r="7" ht="22.5" customHeight="1">
      <c r="B7" s="2"/>
      <c r="C7" s="2"/>
      <c r="D7" s="2"/>
      <c r="E7" s="2"/>
      <c r="F7" s="2"/>
      <c r="G7" s="2"/>
      <c r="H7" s="2"/>
      <c r="I7" s="2"/>
      <c r="J7" s="2"/>
    </row>
    <row r="8" ht="36.75" customHeight="1">
      <c r="B8" s="11" t="s">
        <v>9</v>
      </c>
    </row>
    <row r="9" ht="22.5" customHeight="1">
      <c r="B9" s="12"/>
      <c r="C9" s="12"/>
      <c r="D9" s="12"/>
      <c r="E9" s="12"/>
      <c r="F9" s="12"/>
      <c r="G9" s="12"/>
      <c r="H9" s="12"/>
      <c r="I9" s="12"/>
      <c r="J9" s="12"/>
    </row>
    <row r="10" ht="39.75" customHeight="1">
      <c r="B10" s="12"/>
      <c r="C10" s="13">
        <v>4.0</v>
      </c>
      <c r="D10" s="14" t="s">
        <v>10</v>
      </c>
      <c r="E10" s="15"/>
      <c r="F10" s="5"/>
      <c r="G10" s="12"/>
      <c r="H10" s="12"/>
      <c r="I10" s="12"/>
      <c r="J10" s="12"/>
    </row>
    <row r="11" ht="34.5" customHeight="1">
      <c r="B11" s="12"/>
      <c r="C11" s="13">
        <v>3.0</v>
      </c>
      <c r="D11" s="14" t="s">
        <v>11</v>
      </c>
      <c r="E11" s="15"/>
      <c r="F11" s="5"/>
      <c r="G11" s="12"/>
      <c r="H11" s="12"/>
      <c r="I11" s="12"/>
      <c r="J11" s="12"/>
    </row>
    <row r="12" ht="36.75" customHeight="1">
      <c r="B12" s="12"/>
      <c r="C12" s="13">
        <v>2.0</v>
      </c>
      <c r="D12" s="14" t="s">
        <v>11</v>
      </c>
      <c r="E12" s="15"/>
      <c r="F12" s="5"/>
      <c r="G12" s="12"/>
      <c r="H12" s="12"/>
      <c r="I12" s="12"/>
      <c r="J12" s="12"/>
    </row>
    <row r="13" ht="34.5" customHeight="1">
      <c r="B13" s="12"/>
      <c r="C13" s="13">
        <v>1.0</v>
      </c>
      <c r="D13" s="14" t="s">
        <v>12</v>
      </c>
      <c r="E13" s="15"/>
      <c r="F13" s="5"/>
      <c r="G13" s="12"/>
      <c r="H13" s="12"/>
      <c r="I13" s="12"/>
      <c r="J13" s="12"/>
    </row>
    <row r="14" ht="34.5" customHeight="1">
      <c r="B14" s="12"/>
      <c r="C14" s="16"/>
      <c r="D14" s="12"/>
      <c r="E14" s="12"/>
      <c r="F14" s="12"/>
      <c r="G14" s="12"/>
      <c r="H14" s="12"/>
      <c r="I14" s="12"/>
      <c r="J14" s="12"/>
    </row>
    <row r="15" ht="34.5" customHeight="1">
      <c r="B15" s="17" t="s">
        <v>13</v>
      </c>
    </row>
    <row r="16" ht="39.75" customHeight="1">
      <c r="B16" s="18" t="s">
        <v>14</v>
      </c>
    </row>
    <row r="17" ht="84.0" customHeight="1">
      <c r="B17" s="18" t="s">
        <v>15</v>
      </c>
    </row>
    <row r="18" ht="22.5" customHeight="1">
      <c r="B18" s="19"/>
      <c r="C18" s="19"/>
      <c r="D18" s="19"/>
      <c r="E18" s="19"/>
      <c r="F18" s="19"/>
      <c r="G18" s="19"/>
      <c r="H18" s="19"/>
      <c r="I18" s="19"/>
      <c r="J18" s="19"/>
    </row>
    <row r="19" ht="22.5" customHeight="1">
      <c r="B19" s="11" t="s">
        <v>16</v>
      </c>
    </row>
    <row r="20" ht="22.5" customHeight="1"/>
    <row r="21" ht="22.5" customHeight="1">
      <c r="B21" s="20"/>
      <c r="C21" s="21"/>
      <c r="D21" s="20"/>
      <c r="E21" s="20"/>
      <c r="F21" s="20"/>
      <c r="G21" s="20"/>
      <c r="H21" s="20"/>
      <c r="I21" s="20"/>
      <c r="J21" s="20"/>
    </row>
    <row r="22" ht="22.5" customHeight="1"/>
    <row r="23" ht="45.0" customHeight="1">
      <c r="C23" s="22" t="s">
        <v>17</v>
      </c>
      <c r="D23" s="23"/>
      <c r="E23" s="24" t="s">
        <v>18</v>
      </c>
      <c r="F23" s="23"/>
      <c r="G23" s="24" t="s">
        <v>19</v>
      </c>
      <c r="H23" s="23"/>
      <c r="I23" s="24" t="s">
        <v>20</v>
      </c>
      <c r="J23" s="23"/>
      <c r="K23" s="25"/>
      <c r="L23" s="26" t="s">
        <v>21</v>
      </c>
      <c r="M23" s="25"/>
      <c r="N23" s="25"/>
      <c r="O23" s="27"/>
    </row>
    <row r="24" ht="45.0" customHeight="1">
      <c r="B24" s="28">
        <v>1.0</v>
      </c>
      <c r="C24" s="29">
        <v>2.0</v>
      </c>
      <c r="D24" s="30" t="s">
        <v>22</v>
      </c>
      <c r="E24" s="29">
        <v>3.0</v>
      </c>
      <c r="F24" s="30" t="s">
        <v>23</v>
      </c>
      <c r="G24" s="29">
        <v>3.0</v>
      </c>
      <c r="H24" s="30" t="s">
        <v>24</v>
      </c>
      <c r="I24" s="29">
        <v>4.0</v>
      </c>
      <c r="J24" s="30" t="s">
        <v>25</v>
      </c>
      <c r="K24" s="25"/>
      <c r="L24" s="31" t="s">
        <v>26</v>
      </c>
      <c r="M24" s="25"/>
      <c r="N24" s="31" t="s">
        <v>27</v>
      </c>
      <c r="O24" s="27"/>
      <c r="P24" s="27"/>
    </row>
    <row r="25" ht="114.0" customHeight="1">
      <c r="C25" s="32"/>
      <c r="D25" s="33"/>
      <c r="E25" s="32"/>
      <c r="F25" s="33"/>
      <c r="G25" s="32"/>
      <c r="H25" s="33"/>
      <c r="I25" s="32"/>
      <c r="J25" s="33"/>
      <c r="K25" s="25"/>
      <c r="L25" s="31" t="s">
        <v>28</v>
      </c>
      <c r="M25" s="25"/>
      <c r="N25" s="31" t="s">
        <v>29</v>
      </c>
    </row>
    <row r="26" ht="15.0" customHeight="1">
      <c r="B26" s="28">
        <v>2.0</v>
      </c>
      <c r="C26" s="29">
        <v>4.0</v>
      </c>
      <c r="D26" s="30" t="s">
        <v>30</v>
      </c>
      <c r="E26" s="29">
        <v>4.0</v>
      </c>
      <c r="F26" s="30" t="s">
        <v>31</v>
      </c>
      <c r="G26" s="29">
        <v>4.0</v>
      </c>
      <c r="H26" s="30" t="s">
        <v>32</v>
      </c>
      <c r="I26" s="29">
        <v>2.0</v>
      </c>
      <c r="J26" s="30" t="s">
        <v>33</v>
      </c>
    </row>
    <row r="27" ht="112.5" customHeight="1">
      <c r="C27" s="32"/>
      <c r="D27" s="33"/>
      <c r="E27" s="32"/>
      <c r="F27" s="33"/>
      <c r="G27" s="32"/>
      <c r="H27" s="33"/>
      <c r="I27" s="32"/>
      <c r="J27" s="33"/>
    </row>
    <row r="28" ht="22.5" customHeight="1">
      <c r="B28" s="28">
        <v>3.0</v>
      </c>
      <c r="C28" s="29">
        <v>2.0</v>
      </c>
      <c r="D28" s="30" t="s">
        <v>34</v>
      </c>
      <c r="E28" s="29">
        <v>3.0</v>
      </c>
      <c r="F28" s="30" t="s">
        <v>35</v>
      </c>
      <c r="G28" s="29">
        <v>4.0</v>
      </c>
      <c r="H28" s="30" t="s">
        <v>36</v>
      </c>
      <c r="I28" s="29">
        <v>3.0</v>
      </c>
      <c r="J28" s="30" t="s">
        <v>37</v>
      </c>
    </row>
    <row r="29" ht="106.5" customHeight="1">
      <c r="C29" s="32"/>
      <c r="D29" s="33"/>
      <c r="E29" s="32"/>
      <c r="F29" s="33"/>
      <c r="G29" s="32"/>
      <c r="H29" s="33"/>
      <c r="I29" s="32"/>
      <c r="J29" s="33"/>
    </row>
    <row r="30" ht="22.5" customHeight="1">
      <c r="B30" s="28">
        <v>4.0</v>
      </c>
      <c r="C30" s="29">
        <v>3.0</v>
      </c>
      <c r="D30" s="30" t="s">
        <v>38</v>
      </c>
      <c r="E30" s="29">
        <v>2.0</v>
      </c>
      <c r="F30" s="30" t="s">
        <v>39</v>
      </c>
      <c r="G30" s="29">
        <v>2.0</v>
      </c>
      <c r="H30" s="30" t="s">
        <v>40</v>
      </c>
      <c r="I30" s="29">
        <v>1.0</v>
      </c>
      <c r="J30" s="30" t="s">
        <v>41</v>
      </c>
    </row>
    <row r="31" ht="155.25" customHeight="1">
      <c r="C31" s="32"/>
      <c r="D31" s="33"/>
      <c r="E31" s="32"/>
      <c r="F31" s="33"/>
      <c r="G31" s="32"/>
      <c r="H31" s="33"/>
      <c r="I31" s="32"/>
      <c r="J31" s="33"/>
    </row>
    <row r="32" ht="22.5" customHeight="1">
      <c r="B32" s="28">
        <v>5.0</v>
      </c>
      <c r="C32" s="29">
        <v>2.0</v>
      </c>
      <c r="D32" s="30" t="s">
        <v>42</v>
      </c>
      <c r="E32" s="29">
        <v>3.0</v>
      </c>
      <c r="F32" s="30" t="s">
        <v>43</v>
      </c>
      <c r="G32" s="29">
        <v>2.0</v>
      </c>
      <c r="H32" s="30" t="s">
        <v>44</v>
      </c>
      <c r="I32" s="29">
        <v>3.0</v>
      </c>
      <c r="J32" s="30" t="s">
        <v>45</v>
      </c>
    </row>
    <row r="33" ht="99.75" customHeight="1">
      <c r="C33" s="32"/>
      <c r="D33" s="33"/>
      <c r="E33" s="32"/>
      <c r="F33" s="33"/>
      <c r="G33" s="32"/>
      <c r="H33" s="33"/>
      <c r="I33" s="32"/>
      <c r="J33" s="33"/>
    </row>
    <row r="34" ht="22.5" customHeight="1">
      <c r="B34" s="34">
        <v>1.0</v>
      </c>
      <c r="C34" s="29">
        <v>3.0</v>
      </c>
      <c r="D34" s="30" t="s">
        <v>46</v>
      </c>
      <c r="E34" s="29">
        <v>3.0</v>
      </c>
      <c r="F34" s="30" t="s">
        <v>47</v>
      </c>
      <c r="G34" s="29">
        <v>2.0</v>
      </c>
      <c r="H34" s="30" t="s">
        <v>48</v>
      </c>
      <c r="I34" s="29">
        <v>1.0</v>
      </c>
      <c r="J34" s="30" t="s">
        <v>49</v>
      </c>
    </row>
    <row r="35" ht="144.0" customHeight="1">
      <c r="C35" s="32"/>
      <c r="D35" s="33"/>
      <c r="E35" s="32"/>
      <c r="F35" s="33"/>
      <c r="G35" s="32"/>
      <c r="H35" s="33"/>
      <c r="I35" s="32"/>
      <c r="J35" s="33"/>
    </row>
    <row r="36" ht="22.5" customHeight="1">
      <c r="B36" s="28">
        <v>7.0</v>
      </c>
      <c r="C36" s="29">
        <v>1.0</v>
      </c>
      <c r="D36" s="30" t="s">
        <v>50</v>
      </c>
      <c r="E36" s="29">
        <v>2.0</v>
      </c>
      <c r="F36" s="30" t="s">
        <v>51</v>
      </c>
      <c r="G36" s="29">
        <v>4.0</v>
      </c>
      <c r="H36" s="30" t="s">
        <v>52</v>
      </c>
      <c r="I36" s="29">
        <v>2.0</v>
      </c>
      <c r="J36" s="30" t="s">
        <v>53</v>
      </c>
    </row>
    <row r="37" ht="141.75" customHeight="1">
      <c r="C37" s="32"/>
      <c r="D37" s="33"/>
      <c r="E37" s="32"/>
      <c r="F37" s="33"/>
      <c r="G37" s="32"/>
      <c r="H37" s="33"/>
      <c r="I37" s="32"/>
      <c r="J37" s="33"/>
    </row>
    <row r="38" ht="22.5" customHeight="1">
      <c r="B38" s="28">
        <v>8.0</v>
      </c>
      <c r="C38" s="29">
        <v>3.0</v>
      </c>
      <c r="D38" s="30" t="s">
        <v>54</v>
      </c>
      <c r="E38" s="29">
        <v>4.0</v>
      </c>
      <c r="F38" s="30" t="s">
        <v>55</v>
      </c>
      <c r="G38" s="29">
        <v>2.0</v>
      </c>
      <c r="H38" s="30" t="s">
        <v>56</v>
      </c>
      <c r="I38" s="29">
        <v>2.0</v>
      </c>
      <c r="J38" s="30" t="s">
        <v>57</v>
      </c>
    </row>
    <row r="39" ht="127.5" customHeight="1">
      <c r="C39" s="32"/>
      <c r="D39" s="33"/>
      <c r="E39" s="32"/>
      <c r="F39" s="33"/>
      <c r="G39" s="32"/>
      <c r="H39" s="33"/>
      <c r="I39" s="32"/>
      <c r="J39" s="33"/>
    </row>
    <row r="40" ht="22.5" customHeight="1">
      <c r="B40" s="28">
        <v>9.0</v>
      </c>
      <c r="C40" s="29">
        <v>3.0</v>
      </c>
      <c r="D40" s="30" t="s">
        <v>58</v>
      </c>
      <c r="E40" s="29">
        <v>4.0</v>
      </c>
      <c r="F40" s="30" t="s">
        <v>59</v>
      </c>
      <c r="G40" s="29">
        <v>3.0</v>
      </c>
      <c r="H40" s="30" t="s">
        <v>60</v>
      </c>
      <c r="I40" s="29">
        <v>3.0</v>
      </c>
      <c r="J40" s="30" t="s">
        <v>61</v>
      </c>
    </row>
    <row r="41" ht="150.75" customHeight="1">
      <c r="C41" s="32"/>
      <c r="D41" s="33"/>
      <c r="E41" s="32"/>
      <c r="F41" s="33"/>
      <c r="G41" s="32"/>
      <c r="H41" s="33"/>
      <c r="I41" s="32"/>
      <c r="J41" s="33"/>
    </row>
    <row r="42" ht="15.0" customHeight="1"/>
    <row r="43" ht="15.0" customHeight="1">
      <c r="A43" s="35" t="s">
        <v>62</v>
      </c>
      <c r="C43" s="35">
        <f>+C26+C28+C30+C32+C36+C38</f>
        <v>15</v>
      </c>
      <c r="D43" s="35"/>
      <c r="E43" s="35">
        <f>+E24+E28+E34+E36+E38+E40</f>
        <v>19</v>
      </c>
      <c r="F43" s="35"/>
      <c r="G43" s="35">
        <f>+G26+G28+G30+G32+G38+G40</f>
        <v>17</v>
      </c>
      <c r="H43" s="35"/>
      <c r="I43" s="35">
        <f>+I24+I28+I34+I36+I38+I40</f>
        <v>15</v>
      </c>
      <c r="J43" s="36"/>
      <c r="K43" s="36"/>
      <c r="L43" s="36"/>
      <c r="M43" s="36"/>
      <c r="N43" s="36"/>
      <c r="O43" s="36"/>
      <c r="P43" s="36"/>
      <c r="Q43" s="36"/>
      <c r="R43" s="36"/>
      <c r="S43" s="36"/>
      <c r="T43" s="36"/>
      <c r="U43" s="36"/>
      <c r="V43" s="36"/>
      <c r="W43" s="36"/>
      <c r="X43" s="36"/>
      <c r="Y43" s="36"/>
      <c r="Z43" s="36"/>
    </row>
    <row r="44" ht="15.0" customHeight="1">
      <c r="A44" s="36"/>
      <c r="B44" s="37"/>
      <c r="C44" s="38"/>
      <c r="D44" s="35"/>
      <c r="E44" s="38"/>
      <c r="F44" s="35"/>
      <c r="G44" s="38"/>
      <c r="H44" s="35"/>
      <c r="I44" s="38"/>
      <c r="J44" s="36"/>
      <c r="K44" s="36"/>
      <c r="L44" s="36"/>
      <c r="M44" s="36"/>
      <c r="N44" s="36"/>
      <c r="O44" s="36"/>
      <c r="P44" s="36"/>
      <c r="Q44" s="36"/>
      <c r="R44" s="36"/>
      <c r="S44" s="36"/>
      <c r="T44" s="36"/>
      <c r="U44" s="36"/>
      <c r="V44" s="36"/>
      <c r="W44" s="36"/>
      <c r="X44" s="36"/>
      <c r="Y44" s="36"/>
      <c r="Z44" s="36"/>
    </row>
    <row r="45" ht="30.0" customHeight="1">
      <c r="D45" s="39" t="s">
        <v>63</v>
      </c>
      <c r="E45" s="15"/>
      <c r="F45" s="5"/>
      <c r="G45" s="40" t="s">
        <v>64</v>
      </c>
      <c r="H45" s="41">
        <f>G43-C43</f>
        <v>2</v>
      </c>
    </row>
    <row r="46" ht="30.75" customHeight="1">
      <c r="D46" s="39" t="s">
        <v>65</v>
      </c>
      <c r="E46" s="15"/>
      <c r="F46" s="5"/>
      <c r="G46" s="40" t="s">
        <v>66</v>
      </c>
      <c r="H46" s="41">
        <f>+I43-E43</f>
        <v>-4</v>
      </c>
    </row>
    <row r="47" ht="15.0" customHeight="1"/>
    <row r="48" ht="28.5" customHeight="1">
      <c r="J48" s="20"/>
      <c r="K48" s="42" t="s">
        <v>67</v>
      </c>
      <c r="L48" s="42" t="s">
        <v>18</v>
      </c>
      <c r="M48" s="42" t="s">
        <v>19</v>
      </c>
      <c r="N48" s="42" t="s">
        <v>68</v>
      </c>
    </row>
    <row r="49" ht="15.0" customHeight="1">
      <c r="B49" s="43"/>
      <c r="J49" s="20"/>
      <c r="K49" s="44">
        <f>C43</f>
        <v>15</v>
      </c>
      <c r="L49" s="45">
        <f>E43</f>
        <v>19</v>
      </c>
      <c r="M49" s="46">
        <f>G43</f>
        <v>17</v>
      </c>
      <c r="N49" s="47">
        <f>I43</f>
        <v>15</v>
      </c>
    </row>
    <row r="50" ht="15.0" customHeight="1">
      <c r="J50" s="48"/>
      <c r="K50" s="48"/>
      <c r="L50" s="48"/>
      <c r="M50" s="48"/>
      <c r="N50" s="20"/>
    </row>
    <row r="51" ht="18.75" customHeight="1">
      <c r="D51" s="49" t="s">
        <v>69</v>
      </c>
      <c r="E51" s="50"/>
      <c r="F51" s="51" t="str">
        <f>IF(H45&gt;=3,"ASIMILADOR",IF(H45=18,"ASIMILADOR"," "))</f>
        <v> </v>
      </c>
      <c r="G51" s="52"/>
      <c r="H51" s="53" t="str">
        <f>IF(F51&lt;&gt;"ASIMILADOR","",IF(F52&lt;&gt;"ASIMILADOR","","ASIMILADOR"))</f>
        <v/>
      </c>
      <c r="J51" s="54"/>
      <c r="K51" s="54"/>
      <c r="L51" s="54"/>
      <c r="M51" s="54"/>
      <c r="N51" s="20"/>
    </row>
    <row r="52" ht="27.0" customHeight="1">
      <c r="D52" s="55" t="s">
        <v>70</v>
      </c>
      <c r="E52" s="50"/>
      <c r="F52" s="51" t="str">
        <f>IF(H46&lt;=2,"ASIMILADOR",IF(H46=-11,"ASIMILADOR"," "))</f>
        <v>ASIMILADOR</v>
      </c>
      <c r="G52" s="52"/>
      <c r="H52" s="56"/>
    </row>
    <row r="53" ht="18.75" customHeight="1">
      <c r="D53" s="50"/>
      <c r="E53" s="50"/>
      <c r="F53" s="57"/>
      <c r="G53" s="52"/>
      <c r="H53" s="58"/>
    </row>
    <row r="54" ht="18.75" customHeight="1">
      <c r="D54" s="59" t="s">
        <v>71</v>
      </c>
      <c r="E54" s="50"/>
      <c r="F54" s="51" t="str">
        <f>IF(H45&gt;=3,"CONVERGENTE",IF(H45=18,"CONVERGENTE"," "))</f>
        <v> </v>
      </c>
      <c r="G54" s="52"/>
      <c r="H54" s="60" t="str">
        <f>IF(F54&lt;&gt;"CONVERGENTE","",IF(F55&lt;&gt;"CONVERGENTE","","CONVERGENTE "))</f>
        <v/>
      </c>
    </row>
    <row r="55" ht="27.0" customHeight="1">
      <c r="D55" s="61" t="s">
        <v>72</v>
      </c>
      <c r="E55" s="50"/>
      <c r="F55" s="51" t="str">
        <f>IF(H46&gt;=3,"CONVERGENTE",IF(H46=17,"CONVERGENTE"," "))</f>
        <v> </v>
      </c>
      <c r="G55" s="52"/>
      <c r="H55" s="56"/>
    </row>
    <row r="56" ht="18.75" customHeight="1">
      <c r="D56" s="50"/>
      <c r="E56" s="50"/>
      <c r="F56" s="57"/>
      <c r="G56" s="52"/>
      <c r="H56" s="58"/>
    </row>
    <row r="57" ht="18.75" customHeight="1">
      <c r="D57" s="62" t="s">
        <v>73</v>
      </c>
      <c r="E57" s="50"/>
      <c r="F57" s="51" t="str">
        <f t="shared" ref="F57:F58" si="1">IF(H45&lt;=2,"DIVERGENTE",IF(H45=-12,"DIVERGENTE"," "))</f>
        <v>DIVERGENTE</v>
      </c>
      <c r="G57" s="52"/>
      <c r="H57" s="63" t="str">
        <f>IF(F57&lt;&gt;"DIVERGENTE","",IF(F58&lt;&gt;"DIVERGENTE","","DIVERGENTE "))</f>
        <v>DIVERGENTE </v>
      </c>
    </row>
    <row r="58" ht="27.0" customHeight="1">
      <c r="D58" s="64" t="s">
        <v>74</v>
      </c>
      <c r="E58" s="50"/>
      <c r="F58" s="51" t="str">
        <f t="shared" si="1"/>
        <v>DIVERGENTE</v>
      </c>
      <c r="G58" s="52"/>
      <c r="H58" s="56"/>
    </row>
    <row r="59" ht="18.75" customHeight="1">
      <c r="D59" s="50"/>
      <c r="E59" s="50"/>
      <c r="F59" s="57"/>
      <c r="G59" s="52"/>
      <c r="H59" s="58"/>
    </row>
    <row r="60" ht="97.5" customHeight="1">
      <c r="D60" s="65" t="s">
        <v>75</v>
      </c>
      <c r="E60" s="50"/>
      <c r="F60" s="51" t="str">
        <f>IF(H45&lt;=2,"ACOMODADOR",IF(H45=-12,"ACOMODADOR"," "))</f>
        <v>ACOMODADOR</v>
      </c>
      <c r="G60" s="52"/>
      <c r="H60" s="66" t="str">
        <f>IF(F60&lt;&gt;"ACOMODADOR","",IF(F61&lt;&gt;"ACOMODADOR","","ACOMODADOR"))</f>
        <v/>
      </c>
      <c r="J60" s="67" t="s">
        <v>76</v>
      </c>
    </row>
    <row r="61" ht="27.0" customHeight="1">
      <c r="D61" s="68" t="s">
        <v>77</v>
      </c>
      <c r="E61" s="50"/>
      <c r="F61" s="51" t="str">
        <f>IF(H46&gt;=3,"ACOMODADOR",IF(H46=17,"ACOMODADOR"," "))</f>
        <v> </v>
      </c>
      <c r="G61" s="52"/>
      <c r="H61" s="56"/>
    </row>
    <row r="62" ht="15.0" customHeight="1"/>
    <row r="63" ht="22.5" customHeight="1"/>
    <row r="64" ht="45.0" customHeight="1">
      <c r="H64" s="67"/>
    </row>
    <row r="65" ht="22.5" customHeight="1"/>
    <row r="66" ht="22.5" customHeight="1"/>
    <row r="67" ht="22.5" customHeight="1">
      <c r="H67" s="69"/>
    </row>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mergeCells count="115">
    <mergeCell ref="I26:I27"/>
    <mergeCell ref="J26:J27"/>
    <mergeCell ref="B26:B27"/>
    <mergeCell ref="C26:C27"/>
    <mergeCell ref="D26:D27"/>
    <mergeCell ref="E26:E27"/>
    <mergeCell ref="F26:F27"/>
    <mergeCell ref="G26:G27"/>
    <mergeCell ref="H26:H27"/>
    <mergeCell ref="I28:I29"/>
    <mergeCell ref="J28:J29"/>
    <mergeCell ref="B28:B29"/>
    <mergeCell ref="C28:C29"/>
    <mergeCell ref="D28:D29"/>
    <mergeCell ref="E28:E29"/>
    <mergeCell ref="F28:F29"/>
    <mergeCell ref="G28:G29"/>
    <mergeCell ref="H28:H29"/>
    <mergeCell ref="I30:I31"/>
    <mergeCell ref="J30:J31"/>
    <mergeCell ref="B30:B31"/>
    <mergeCell ref="C30:C31"/>
    <mergeCell ref="D30:D31"/>
    <mergeCell ref="E30:E31"/>
    <mergeCell ref="F30:F31"/>
    <mergeCell ref="G30:G31"/>
    <mergeCell ref="H30:H31"/>
    <mergeCell ref="I32:I33"/>
    <mergeCell ref="J32:J33"/>
    <mergeCell ref="B32:B33"/>
    <mergeCell ref="C32:C33"/>
    <mergeCell ref="D32:D33"/>
    <mergeCell ref="E32:E33"/>
    <mergeCell ref="F32:F33"/>
    <mergeCell ref="G32:G33"/>
    <mergeCell ref="H32:H33"/>
    <mergeCell ref="I34:I35"/>
    <mergeCell ref="J34:J35"/>
    <mergeCell ref="B34:B35"/>
    <mergeCell ref="C34:C35"/>
    <mergeCell ref="D34:D35"/>
    <mergeCell ref="E34:E35"/>
    <mergeCell ref="F34:F35"/>
    <mergeCell ref="G34:G35"/>
    <mergeCell ref="H34:H35"/>
    <mergeCell ref="I36:I37"/>
    <mergeCell ref="J36:J37"/>
    <mergeCell ref="B36:B37"/>
    <mergeCell ref="C36:C37"/>
    <mergeCell ref="D36:D37"/>
    <mergeCell ref="E36:E37"/>
    <mergeCell ref="F36:F37"/>
    <mergeCell ref="G36:G37"/>
    <mergeCell ref="H36:H37"/>
    <mergeCell ref="I38:I39"/>
    <mergeCell ref="J38:J39"/>
    <mergeCell ref="A43:B43"/>
    <mergeCell ref="D45:F45"/>
    <mergeCell ref="D46:F46"/>
    <mergeCell ref="B49:E49"/>
    <mergeCell ref="H51:H52"/>
    <mergeCell ref="H54:H55"/>
    <mergeCell ref="H57:H58"/>
    <mergeCell ref="H60:H61"/>
    <mergeCell ref="B38:B39"/>
    <mergeCell ref="C38:C39"/>
    <mergeCell ref="D38:D39"/>
    <mergeCell ref="E38:E39"/>
    <mergeCell ref="F38:F39"/>
    <mergeCell ref="G38:G39"/>
    <mergeCell ref="H38:H39"/>
    <mergeCell ref="G5:H5"/>
    <mergeCell ref="I5:J5"/>
    <mergeCell ref="B2:J2"/>
    <mergeCell ref="C4:D4"/>
    <mergeCell ref="E4:F4"/>
    <mergeCell ref="G4:H4"/>
    <mergeCell ref="I4:J4"/>
    <mergeCell ref="C5:D5"/>
    <mergeCell ref="E5:F5"/>
    <mergeCell ref="C6:D6"/>
    <mergeCell ref="E6:F6"/>
    <mergeCell ref="G6:H6"/>
    <mergeCell ref="I6:J6"/>
    <mergeCell ref="B8:J8"/>
    <mergeCell ref="D10:F10"/>
    <mergeCell ref="D11:F11"/>
    <mergeCell ref="D12:F12"/>
    <mergeCell ref="D13:F13"/>
    <mergeCell ref="B15:J15"/>
    <mergeCell ref="B16:J16"/>
    <mergeCell ref="B17:J17"/>
    <mergeCell ref="B19:J20"/>
    <mergeCell ref="C23:D23"/>
    <mergeCell ref="I23:J23"/>
    <mergeCell ref="G24:G25"/>
    <mergeCell ref="H24:H25"/>
    <mergeCell ref="I24:I25"/>
    <mergeCell ref="J24:J25"/>
    <mergeCell ref="E23:F23"/>
    <mergeCell ref="G23:H23"/>
    <mergeCell ref="B24:B25"/>
    <mergeCell ref="C24:C25"/>
    <mergeCell ref="D24:D25"/>
    <mergeCell ref="E24:E25"/>
    <mergeCell ref="F24:F25"/>
    <mergeCell ref="I40:I41"/>
    <mergeCell ref="J40:J41"/>
    <mergeCell ref="B40:B41"/>
    <mergeCell ref="C40:C41"/>
    <mergeCell ref="D40:D41"/>
    <mergeCell ref="E40:E41"/>
    <mergeCell ref="F40:F41"/>
    <mergeCell ref="G40:G41"/>
    <mergeCell ref="H40:H4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57"/>
    <col customWidth="1" min="2" max="2" width="10.0"/>
    <col customWidth="1" min="3" max="3" width="20.14"/>
    <col customWidth="1" min="4" max="4" width="18.14"/>
    <col customWidth="1" min="5" max="26" width="10.0"/>
  </cols>
  <sheetData>
    <row r="1" ht="15.75" customHeight="1">
      <c r="A1" s="70" t="s">
        <v>75</v>
      </c>
      <c r="B1" s="71"/>
      <c r="C1" s="71"/>
      <c r="D1" s="71"/>
      <c r="E1" s="71"/>
      <c r="F1" s="71"/>
      <c r="G1" s="71"/>
      <c r="H1" s="71"/>
      <c r="I1" s="72"/>
    </row>
    <row r="2" ht="15.75" customHeight="1">
      <c r="A2" s="36"/>
      <c r="B2" s="73"/>
      <c r="C2" s="73"/>
      <c r="D2" s="73"/>
      <c r="E2" s="73"/>
      <c r="F2" s="73"/>
      <c r="G2" s="73"/>
      <c r="H2" s="73"/>
      <c r="I2" s="73"/>
    </row>
    <row r="3" ht="15.75" customHeight="1">
      <c r="A3" s="74" t="s">
        <v>77</v>
      </c>
      <c r="B3" s="75"/>
      <c r="C3" s="75"/>
      <c r="D3" s="73"/>
      <c r="E3" s="73"/>
      <c r="F3" s="73"/>
      <c r="G3" s="73"/>
      <c r="H3" s="73"/>
      <c r="I3" s="73"/>
    </row>
    <row r="4">
      <c r="A4" s="76"/>
      <c r="B4" s="76"/>
      <c r="C4" s="76"/>
      <c r="D4" s="76"/>
      <c r="E4" s="76"/>
      <c r="F4" s="76"/>
      <c r="G4" s="76"/>
      <c r="H4" s="76"/>
      <c r="I4" s="76"/>
    </row>
    <row r="5" ht="24.0" customHeight="1">
      <c r="A5" s="77" t="s">
        <v>78</v>
      </c>
    </row>
    <row r="6" ht="24.0" customHeight="1"/>
    <row r="7" ht="24.0" customHeight="1"/>
    <row r="8" ht="24.0" customHeight="1"/>
    <row r="9" ht="12.75" customHeight="1">
      <c r="A9" s="77" t="s">
        <v>79</v>
      </c>
    </row>
    <row r="10" ht="24.0" customHeight="1"/>
    <row r="11" ht="20.25" customHeight="1"/>
    <row r="12" ht="24.0" hidden="1" customHeight="1"/>
    <row r="13">
      <c r="A13" s="77" t="s">
        <v>80</v>
      </c>
    </row>
    <row r="17">
      <c r="A17" s="77"/>
      <c r="B17" s="77"/>
      <c r="C17" s="77"/>
      <c r="D17" s="77"/>
      <c r="E17" s="77"/>
      <c r="F17" s="77"/>
      <c r="G17" s="77"/>
      <c r="H17" s="77"/>
      <c r="I17" s="77"/>
    </row>
    <row r="18">
      <c r="A18" s="78" t="s">
        <v>81</v>
      </c>
      <c r="D18" s="77"/>
      <c r="E18" s="78" t="s">
        <v>82</v>
      </c>
    </row>
    <row r="19">
      <c r="A19" s="77"/>
      <c r="B19" s="77"/>
      <c r="C19" s="77"/>
      <c r="D19" s="77"/>
      <c r="E19" s="77"/>
      <c r="F19" s="77"/>
      <c r="G19" s="77"/>
      <c r="H19" s="77"/>
      <c r="I19" s="77"/>
    </row>
    <row r="20">
      <c r="A20" s="79" t="s">
        <v>83</v>
      </c>
      <c r="B20" s="80"/>
      <c r="C20" s="80"/>
      <c r="D20" s="80"/>
      <c r="E20" s="79" t="s">
        <v>84</v>
      </c>
      <c r="F20" s="77"/>
      <c r="G20" s="77"/>
      <c r="H20" s="77"/>
      <c r="I20" s="77"/>
    </row>
    <row r="21" ht="15.75" customHeight="1">
      <c r="A21" s="79" t="s">
        <v>85</v>
      </c>
      <c r="B21" s="80"/>
      <c r="C21" s="80"/>
      <c r="D21" s="80"/>
      <c r="E21" s="79" t="s">
        <v>86</v>
      </c>
      <c r="F21" s="77"/>
      <c r="G21" s="77"/>
      <c r="H21" s="77"/>
      <c r="I21" s="77"/>
    </row>
    <row r="22" ht="15.75" customHeight="1">
      <c r="A22" s="81" t="s">
        <v>87</v>
      </c>
      <c r="E22" s="79" t="s">
        <v>88</v>
      </c>
      <c r="F22" s="77"/>
      <c r="G22" s="77"/>
      <c r="H22" s="77"/>
      <c r="I22" s="77"/>
    </row>
    <row r="23" ht="15.75" customHeight="1">
      <c r="A23" s="79" t="s">
        <v>89</v>
      </c>
      <c r="B23" s="80"/>
      <c r="C23" s="80"/>
      <c r="D23" s="80"/>
      <c r="E23" s="79" t="s">
        <v>90</v>
      </c>
      <c r="F23" s="77"/>
      <c r="G23" s="77"/>
      <c r="H23" s="77"/>
      <c r="I23" s="77"/>
    </row>
    <row r="24" ht="15.75" customHeight="1">
      <c r="A24" s="79" t="s">
        <v>91</v>
      </c>
      <c r="B24" s="80"/>
      <c r="C24" s="80"/>
      <c r="D24" s="80"/>
      <c r="E24" s="79" t="s">
        <v>92</v>
      </c>
      <c r="F24" s="77"/>
      <c r="G24" s="77"/>
      <c r="H24" s="77"/>
      <c r="I24" s="77"/>
    </row>
    <row r="25" ht="15.75" customHeight="1">
      <c r="A25" s="79" t="s">
        <v>93</v>
      </c>
      <c r="B25" s="80"/>
      <c r="C25" s="80"/>
      <c r="D25" s="80"/>
      <c r="E25" s="79" t="s">
        <v>94</v>
      </c>
      <c r="F25" s="77"/>
      <c r="G25" s="77"/>
      <c r="H25" s="77"/>
      <c r="I25" s="77"/>
    </row>
    <row r="26" ht="15.75" customHeight="1">
      <c r="A26" s="79" t="s">
        <v>95</v>
      </c>
      <c r="E26" s="79" t="s">
        <v>96</v>
      </c>
      <c r="F26" s="77"/>
      <c r="G26" s="77"/>
      <c r="H26" s="77"/>
      <c r="I26" s="77"/>
    </row>
    <row r="27" ht="16.5" customHeight="1">
      <c r="A27" s="79" t="s">
        <v>97</v>
      </c>
      <c r="B27" s="80"/>
      <c r="C27" s="80"/>
      <c r="D27" s="80"/>
      <c r="E27" s="79" t="s">
        <v>98</v>
      </c>
      <c r="F27" s="77"/>
      <c r="G27" s="77"/>
      <c r="H27" s="77"/>
      <c r="I27" s="77"/>
    </row>
    <row r="28" ht="16.5" customHeight="1">
      <c r="A28" s="79" t="s">
        <v>99</v>
      </c>
      <c r="B28" s="80"/>
      <c r="C28" s="80"/>
      <c r="D28" s="80"/>
      <c r="E28" s="79" t="s">
        <v>100</v>
      </c>
      <c r="F28" s="77"/>
      <c r="G28" s="77"/>
      <c r="H28" s="77"/>
      <c r="I28" s="77"/>
    </row>
    <row r="29" ht="16.5" customHeight="1">
      <c r="A29" s="79" t="s">
        <v>101</v>
      </c>
      <c r="B29" s="80"/>
      <c r="C29" s="80"/>
      <c r="D29" s="80"/>
      <c r="E29" s="79" t="s">
        <v>102</v>
      </c>
      <c r="F29" s="77"/>
      <c r="G29" s="77"/>
      <c r="H29" s="77"/>
      <c r="I29" s="77"/>
    </row>
    <row r="30" ht="16.5" customHeight="1">
      <c r="A30" s="79" t="s">
        <v>103</v>
      </c>
      <c r="B30" s="77"/>
      <c r="C30" s="77"/>
      <c r="D30" s="77"/>
      <c r="E30" s="77"/>
      <c r="F30" s="77"/>
      <c r="G30" s="77"/>
      <c r="H30" s="77"/>
      <c r="I30" s="77"/>
      <c r="J30" s="36"/>
    </row>
    <row r="31" ht="15.75" customHeight="1">
      <c r="A31" s="76"/>
      <c r="B31" s="76"/>
      <c r="C31" s="76"/>
      <c r="D31" s="76"/>
      <c r="E31" s="76"/>
      <c r="F31" s="76"/>
      <c r="G31" s="76"/>
      <c r="H31" s="76"/>
      <c r="I31" s="76"/>
    </row>
    <row r="32" ht="15.75" customHeight="1">
      <c r="A32" s="82" t="s">
        <v>73</v>
      </c>
      <c r="B32" s="71"/>
      <c r="C32" s="71"/>
      <c r="D32" s="71"/>
      <c r="E32" s="71"/>
      <c r="F32" s="71"/>
      <c r="G32" s="71"/>
      <c r="H32" s="71"/>
      <c r="I32" s="72"/>
    </row>
    <row r="33" ht="15.75" customHeight="1">
      <c r="B33" s="76"/>
      <c r="C33" s="76"/>
      <c r="D33" s="76"/>
      <c r="E33" s="76"/>
      <c r="F33" s="76"/>
      <c r="G33" s="76"/>
      <c r="H33" s="76"/>
      <c r="I33" s="76"/>
    </row>
    <row r="34" ht="15.75" customHeight="1">
      <c r="A34" s="74" t="s">
        <v>74</v>
      </c>
      <c r="B34" s="76"/>
      <c r="C34" s="76"/>
      <c r="D34" s="76"/>
      <c r="E34" s="76"/>
      <c r="F34" s="76"/>
      <c r="G34" s="76"/>
      <c r="H34" s="76"/>
      <c r="I34" s="76"/>
    </row>
    <row r="35" ht="15.75" customHeight="1">
      <c r="B35" s="77"/>
      <c r="C35" s="76"/>
      <c r="D35" s="76"/>
      <c r="E35" s="76"/>
      <c r="F35" s="76"/>
      <c r="G35" s="76"/>
      <c r="H35" s="76"/>
      <c r="I35" s="76"/>
    </row>
    <row r="36" ht="81.75" customHeight="1">
      <c r="A36" s="83" t="s">
        <v>104</v>
      </c>
    </row>
    <row r="37" ht="15.75" customHeight="1">
      <c r="A37" s="77"/>
      <c r="B37" s="77"/>
      <c r="C37" s="77"/>
      <c r="D37" s="77"/>
      <c r="E37" s="77"/>
      <c r="F37" s="77"/>
      <c r="G37" s="77"/>
      <c r="H37" s="77"/>
      <c r="I37" s="77"/>
    </row>
    <row r="38" ht="15.75" customHeight="1">
      <c r="A38" s="77"/>
      <c r="B38" s="77"/>
      <c r="C38" s="77"/>
      <c r="D38" s="77"/>
      <c r="E38" s="77"/>
      <c r="F38" s="77"/>
      <c r="G38" s="77"/>
      <c r="H38" s="77"/>
      <c r="I38" s="77"/>
    </row>
    <row r="39" ht="15.75" customHeight="1">
      <c r="A39" s="77"/>
      <c r="B39" s="77"/>
      <c r="C39" s="77"/>
      <c r="D39" s="77"/>
      <c r="E39" s="77"/>
      <c r="F39" s="77"/>
      <c r="G39" s="77"/>
      <c r="H39" s="77"/>
      <c r="I39" s="77"/>
    </row>
    <row r="40" ht="51.75" customHeight="1">
      <c r="A40" s="83" t="s">
        <v>105</v>
      </c>
    </row>
    <row r="41" ht="15.75" customHeight="1">
      <c r="A41" s="77"/>
      <c r="B41" s="77"/>
      <c r="C41" s="77"/>
      <c r="D41" s="77"/>
      <c r="E41" s="77"/>
      <c r="F41" s="77"/>
      <c r="G41" s="77"/>
      <c r="H41" s="77"/>
      <c r="I41" s="77"/>
    </row>
    <row r="42" ht="15.75" customHeight="1">
      <c r="A42" s="77"/>
      <c r="B42" s="77"/>
      <c r="C42" s="77"/>
      <c r="D42" s="77"/>
      <c r="E42" s="77"/>
      <c r="F42" s="77"/>
      <c r="G42" s="77"/>
      <c r="H42" s="77"/>
      <c r="I42" s="77"/>
    </row>
    <row r="43" ht="15.75" customHeight="1">
      <c r="A43" s="77"/>
      <c r="B43" s="78"/>
      <c r="C43" s="77"/>
      <c r="D43" s="77"/>
      <c r="E43" s="77"/>
      <c r="F43" s="77"/>
      <c r="G43" s="77"/>
      <c r="H43" s="77"/>
      <c r="I43" s="77"/>
    </row>
    <row r="44" ht="14.25" customHeight="1">
      <c r="A44" s="84" t="s">
        <v>81</v>
      </c>
      <c r="E44" s="78" t="s">
        <v>82</v>
      </c>
    </row>
    <row r="45" ht="15.75" customHeight="1">
      <c r="A45" s="77"/>
      <c r="B45" s="77"/>
      <c r="C45" s="77"/>
      <c r="D45" s="77"/>
      <c r="E45" s="85"/>
      <c r="F45" s="77"/>
      <c r="G45" s="77"/>
      <c r="H45" s="77"/>
      <c r="I45" s="77"/>
    </row>
    <row r="46" ht="15.75" customHeight="1">
      <c r="A46" s="86" t="s">
        <v>106</v>
      </c>
      <c r="B46" s="77"/>
      <c r="C46" s="77"/>
      <c r="D46" s="77"/>
      <c r="E46" s="86" t="s">
        <v>107</v>
      </c>
      <c r="F46" s="86"/>
      <c r="G46" s="77"/>
      <c r="H46" s="77"/>
      <c r="I46" s="77"/>
    </row>
    <row r="47" ht="15.75" customHeight="1">
      <c r="A47" s="86" t="s">
        <v>108</v>
      </c>
      <c r="B47" s="77"/>
      <c r="C47" s="77"/>
      <c r="D47" s="77"/>
      <c r="E47" s="86" t="s">
        <v>109</v>
      </c>
      <c r="F47" s="86"/>
      <c r="G47" s="77"/>
      <c r="H47" s="77"/>
      <c r="I47" s="77"/>
    </row>
    <row r="48" ht="15.75" customHeight="1">
      <c r="A48" s="86" t="s">
        <v>110</v>
      </c>
      <c r="B48" s="77"/>
      <c r="C48" s="77"/>
      <c r="D48" s="77"/>
      <c r="E48" s="86" t="s">
        <v>111</v>
      </c>
      <c r="F48" s="86"/>
      <c r="G48" s="77"/>
      <c r="H48" s="77"/>
      <c r="I48" s="77"/>
    </row>
    <row r="49" ht="15.75" customHeight="1">
      <c r="A49" s="86" t="s">
        <v>112</v>
      </c>
      <c r="B49" s="77"/>
      <c r="C49" s="77"/>
      <c r="D49" s="77"/>
      <c r="E49" s="86" t="s">
        <v>113</v>
      </c>
      <c r="F49" s="86"/>
      <c r="G49" s="77"/>
      <c r="H49" s="77"/>
      <c r="I49" s="77"/>
    </row>
    <row r="50" ht="15.75" customHeight="1">
      <c r="A50" s="86" t="s">
        <v>114</v>
      </c>
      <c r="B50" s="77"/>
      <c r="C50" s="77"/>
      <c r="D50" s="77"/>
      <c r="E50" s="86" t="s">
        <v>115</v>
      </c>
      <c r="F50" s="86"/>
      <c r="G50" s="77"/>
      <c r="H50" s="77"/>
      <c r="I50" s="77"/>
    </row>
    <row r="51" ht="15.75" customHeight="1">
      <c r="A51" s="86" t="s">
        <v>116</v>
      </c>
      <c r="B51" s="77"/>
      <c r="C51" s="77"/>
      <c r="D51" s="77"/>
      <c r="E51" s="86" t="s">
        <v>117</v>
      </c>
      <c r="F51" s="86"/>
      <c r="G51" s="77"/>
      <c r="H51" s="77"/>
      <c r="I51" s="77"/>
    </row>
    <row r="52" ht="15.75" customHeight="1">
      <c r="A52" s="86" t="s">
        <v>118</v>
      </c>
      <c r="B52" s="77"/>
      <c r="C52" s="77"/>
      <c r="D52" s="77"/>
      <c r="E52" s="86" t="s">
        <v>119</v>
      </c>
      <c r="F52" s="86"/>
      <c r="G52" s="77"/>
      <c r="H52" s="77"/>
      <c r="I52" s="77"/>
    </row>
    <row r="53" ht="15.75" customHeight="1">
      <c r="A53" s="86" t="s">
        <v>120</v>
      </c>
      <c r="B53" s="77"/>
      <c r="C53" s="77"/>
      <c r="D53" s="77"/>
      <c r="E53" s="86"/>
      <c r="F53" s="86"/>
      <c r="G53" s="77"/>
      <c r="H53" s="77"/>
      <c r="I53" s="77"/>
    </row>
    <row r="54" ht="15.75" customHeight="1">
      <c r="A54" s="86" t="s">
        <v>121</v>
      </c>
      <c r="B54" s="77"/>
      <c r="C54" s="77"/>
      <c r="D54" s="77"/>
      <c r="H54" s="77"/>
      <c r="I54" s="77"/>
    </row>
    <row r="55" ht="15.75" customHeight="1">
      <c r="A55" s="86" t="s">
        <v>122</v>
      </c>
      <c r="B55" s="77"/>
      <c r="C55" s="77"/>
      <c r="D55" s="77"/>
      <c r="H55" s="77"/>
      <c r="I55" s="77"/>
    </row>
    <row r="56" ht="15.75" customHeight="1">
      <c r="A56" s="86" t="s">
        <v>123</v>
      </c>
      <c r="B56" s="76"/>
      <c r="C56" s="77"/>
      <c r="D56" s="77"/>
      <c r="H56" s="77"/>
      <c r="I56" s="77"/>
    </row>
    <row r="57" ht="15.75" customHeight="1">
      <c r="A57" s="76"/>
      <c r="C57" s="76"/>
      <c r="D57" s="76"/>
      <c r="E57" s="76"/>
      <c r="F57" s="76"/>
      <c r="G57" s="76"/>
      <c r="H57" s="76"/>
      <c r="I57" s="76"/>
      <c r="J57" s="36"/>
    </row>
    <row r="58" ht="15.75" customHeight="1">
      <c r="A58" s="87" t="s">
        <v>71</v>
      </c>
      <c r="B58" s="87"/>
      <c r="C58" s="87"/>
      <c r="D58" s="87"/>
      <c r="E58" s="87"/>
      <c r="F58" s="87"/>
      <c r="G58" s="87"/>
      <c r="H58" s="87"/>
      <c r="I58" s="87"/>
    </row>
    <row r="59" ht="15.75" customHeight="1">
      <c r="B59" s="76"/>
      <c r="C59" s="76"/>
      <c r="D59" s="76"/>
      <c r="E59" s="76"/>
      <c r="F59" s="76"/>
      <c r="G59" s="76"/>
      <c r="H59" s="76"/>
      <c r="I59" s="76"/>
    </row>
    <row r="60" ht="15.75" customHeight="1">
      <c r="A60" s="74" t="s">
        <v>72</v>
      </c>
      <c r="B60" s="77"/>
      <c r="C60" s="76"/>
      <c r="D60" s="76"/>
      <c r="E60" s="76"/>
      <c r="F60" s="76"/>
      <c r="G60" s="76"/>
      <c r="H60" s="76"/>
      <c r="I60" s="76"/>
    </row>
    <row r="61" ht="84.75" customHeight="1">
      <c r="A61" s="88" t="s">
        <v>124</v>
      </c>
    </row>
    <row r="62" ht="6.0" customHeight="1">
      <c r="A62" s="89"/>
      <c r="B62" s="80"/>
      <c r="C62" s="80"/>
      <c r="D62" s="80"/>
      <c r="E62" s="80"/>
      <c r="F62" s="80"/>
      <c r="G62" s="80"/>
      <c r="H62" s="80"/>
      <c r="I62" s="80"/>
    </row>
    <row r="63" ht="41.25" customHeight="1">
      <c r="A63" s="80" t="s">
        <v>125</v>
      </c>
    </row>
    <row r="64" ht="15.75" customHeight="1">
      <c r="A64" s="77"/>
      <c r="B64" s="77"/>
      <c r="C64" s="77"/>
      <c r="D64" s="77"/>
      <c r="E64" s="77"/>
      <c r="F64" s="77"/>
      <c r="G64" s="77"/>
      <c r="H64" s="77"/>
      <c r="I64" s="77"/>
    </row>
    <row r="65" ht="15.75" customHeight="1">
      <c r="A65" s="77"/>
      <c r="B65" s="77"/>
      <c r="C65" s="77"/>
      <c r="D65" s="77"/>
      <c r="E65" s="77"/>
      <c r="F65" s="77"/>
      <c r="G65" s="77"/>
      <c r="H65" s="77"/>
      <c r="I65" s="77"/>
    </row>
    <row r="66" ht="14.25" customHeight="1">
      <c r="A66" s="83" t="s">
        <v>126</v>
      </c>
    </row>
    <row r="67" ht="15.75" customHeight="1">
      <c r="A67" s="77"/>
      <c r="B67" s="77"/>
      <c r="C67" s="77"/>
      <c r="D67" s="77"/>
      <c r="E67" s="77"/>
      <c r="F67" s="77"/>
      <c r="G67" s="77"/>
      <c r="H67" s="77"/>
      <c r="I67" s="77"/>
    </row>
    <row r="68" ht="15.75" customHeight="1">
      <c r="A68" s="77"/>
      <c r="B68" s="77"/>
      <c r="C68" s="77"/>
      <c r="D68" s="77"/>
      <c r="E68" s="77"/>
      <c r="F68" s="77"/>
      <c r="G68" s="77"/>
      <c r="H68" s="77"/>
      <c r="I68" s="77"/>
    </row>
    <row r="69" ht="15.75" customHeight="1">
      <c r="A69" s="77"/>
      <c r="B69" s="78"/>
      <c r="C69" s="77"/>
      <c r="D69" s="77"/>
      <c r="E69" s="77"/>
      <c r="F69" s="77"/>
      <c r="G69" s="77"/>
      <c r="H69" s="77"/>
      <c r="I69" s="77"/>
    </row>
    <row r="70" ht="14.25" customHeight="1">
      <c r="A70" s="90" t="s">
        <v>81</v>
      </c>
      <c r="E70" s="78" t="s">
        <v>82</v>
      </c>
    </row>
    <row r="71" ht="15.75" customHeight="1">
      <c r="A71" s="77"/>
      <c r="B71" s="77"/>
      <c r="C71" s="77"/>
      <c r="D71" s="77"/>
      <c r="E71" s="77"/>
      <c r="F71" s="77"/>
      <c r="G71" s="77"/>
      <c r="H71" s="77"/>
      <c r="I71" s="77"/>
    </row>
    <row r="72" ht="18.0" customHeight="1">
      <c r="A72" s="86" t="s">
        <v>127</v>
      </c>
      <c r="B72" s="77"/>
      <c r="C72" s="77"/>
      <c r="D72" s="77"/>
      <c r="E72" s="91" t="s">
        <v>128</v>
      </c>
      <c r="F72" s="92"/>
      <c r="G72" s="86"/>
      <c r="H72" s="86"/>
      <c r="I72" s="86"/>
    </row>
    <row r="73" ht="15.75" customHeight="1">
      <c r="A73" s="86" t="s">
        <v>129</v>
      </c>
      <c r="B73" s="77"/>
      <c r="C73" s="77"/>
      <c r="D73" s="77"/>
      <c r="E73" s="86" t="s">
        <v>130</v>
      </c>
      <c r="F73" s="86"/>
      <c r="G73" s="86"/>
      <c r="H73" s="86"/>
      <c r="I73" s="86"/>
    </row>
    <row r="74" ht="15.75" customHeight="1">
      <c r="A74" s="86" t="s">
        <v>131</v>
      </c>
      <c r="B74" s="77"/>
      <c r="C74" s="77"/>
      <c r="D74" s="77"/>
      <c r="E74" s="86" t="s">
        <v>132</v>
      </c>
      <c r="F74" s="86"/>
      <c r="G74" s="86"/>
      <c r="H74" s="86"/>
      <c r="I74" s="86"/>
    </row>
    <row r="75" ht="15.75" customHeight="1">
      <c r="A75" s="86" t="s">
        <v>133</v>
      </c>
      <c r="B75" s="77"/>
      <c r="C75" s="77"/>
      <c r="D75" s="77"/>
      <c r="E75" s="86" t="s">
        <v>134</v>
      </c>
      <c r="F75" s="86"/>
      <c r="G75" s="86"/>
      <c r="H75" s="86"/>
      <c r="I75" s="86"/>
    </row>
    <row r="76" ht="18.0" customHeight="1">
      <c r="A76" s="86" t="s">
        <v>135</v>
      </c>
      <c r="B76" s="77"/>
      <c r="C76" s="77"/>
      <c r="D76" s="77"/>
      <c r="E76" s="93" t="s">
        <v>136</v>
      </c>
      <c r="F76" s="86"/>
      <c r="G76" s="86"/>
      <c r="H76" s="86"/>
      <c r="I76" s="86"/>
    </row>
    <row r="77" ht="15.75" customHeight="1">
      <c r="A77" s="86" t="s">
        <v>137</v>
      </c>
      <c r="B77" s="77"/>
      <c r="C77" s="77"/>
      <c r="D77" s="77"/>
      <c r="E77" s="86" t="s">
        <v>138</v>
      </c>
      <c r="F77" s="86"/>
      <c r="G77" s="86"/>
      <c r="H77" s="86"/>
      <c r="I77" s="86"/>
    </row>
    <row r="78" ht="15.75" customHeight="1">
      <c r="A78" s="86" t="s">
        <v>139</v>
      </c>
      <c r="B78" s="77"/>
      <c r="C78" s="77"/>
      <c r="D78" s="77"/>
      <c r="E78" s="86" t="s">
        <v>140</v>
      </c>
      <c r="F78" s="86"/>
      <c r="G78" s="86"/>
      <c r="H78" s="86"/>
      <c r="I78" s="86"/>
    </row>
    <row r="79" ht="15.75" customHeight="1">
      <c r="A79" s="86" t="s">
        <v>141</v>
      </c>
      <c r="C79" s="77"/>
      <c r="D79" s="77"/>
      <c r="E79" s="86"/>
      <c r="F79" s="86"/>
      <c r="G79" s="86"/>
      <c r="H79" s="86"/>
      <c r="I79" s="86"/>
    </row>
    <row r="80" ht="15.75" customHeight="1">
      <c r="A80" s="86" t="s">
        <v>142</v>
      </c>
      <c r="F80" s="86"/>
      <c r="G80" s="86"/>
      <c r="H80" s="86"/>
      <c r="I80" s="86"/>
    </row>
    <row r="81" ht="15.75" customHeight="1">
      <c r="A81" s="86" t="s">
        <v>143</v>
      </c>
      <c r="E81" s="86"/>
      <c r="F81" s="86"/>
      <c r="G81" s="86"/>
      <c r="H81" s="86"/>
      <c r="I81" s="86"/>
    </row>
    <row r="82" ht="15.75" customHeight="1">
      <c r="A82" s="86" t="s">
        <v>144</v>
      </c>
      <c r="E82" s="86"/>
      <c r="F82" s="86"/>
      <c r="G82" s="86"/>
      <c r="H82" s="86"/>
      <c r="I82" s="86"/>
    </row>
    <row r="83" ht="15.75" customHeight="1">
      <c r="J83" s="36"/>
    </row>
    <row r="84" ht="15.75" customHeight="1">
      <c r="A84" s="94" t="s">
        <v>69</v>
      </c>
      <c r="B84" s="94"/>
      <c r="C84" s="94"/>
      <c r="D84" s="94"/>
      <c r="E84" s="94"/>
      <c r="F84" s="94"/>
      <c r="G84" s="94"/>
      <c r="H84" s="94"/>
      <c r="I84" s="94"/>
    </row>
    <row r="85" ht="15.75" customHeight="1">
      <c r="B85" s="76"/>
      <c r="C85" s="76"/>
      <c r="D85" s="76"/>
      <c r="E85" s="76"/>
      <c r="F85" s="76"/>
      <c r="G85" s="76"/>
      <c r="H85" s="76"/>
      <c r="I85" s="76"/>
    </row>
    <row r="86" ht="15.75" customHeight="1">
      <c r="A86" s="74" t="s">
        <v>70</v>
      </c>
      <c r="B86" s="76"/>
      <c r="C86" s="76"/>
      <c r="D86" s="76"/>
      <c r="E86" s="76"/>
      <c r="F86" s="76"/>
      <c r="G86" s="76"/>
      <c r="H86" s="76"/>
      <c r="I86" s="76"/>
    </row>
    <row r="87" ht="8.25" customHeight="1">
      <c r="B87" s="77"/>
      <c r="C87" s="76"/>
      <c r="D87" s="76"/>
      <c r="E87" s="76"/>
      <c r="F87" s="76"/>
      <c r="G87" s="76"/>
      <c r="H87" s="76"/>
      <c r="I87" s="76"/>
    </row>
    <row r="88" ht="61.5" customHeight="1">
      <c r="A88" s="88" t="s">
        <v>145</v>
      </c>
    </row>
    <row r="89" ht="14.25" customHeight="1">
      <c r="B89" s="77"/>
      <c r="C89" s="77"/>
      <c r="D89" s="77"/>
      <c r="E89" s="77"/>
      <c r="F89" s="77"/>
      <c r="G89" s="77"/>
      <c r="H89" s="77"/>
      <c r="I89" s="77"/>
    </row>
    <row r="90" ht="39.0" customHeight="1">
      <c r="A90" s="83" t="s">
        <v>146</v>
      </c>
    </row>
    <row r="91" ht="15.75" customHeight="1">
      <c r="A91" s="77"/>
      <c r="B91" s="77"/>
      <c r="C91" s="77"/>
      <c r="D91" s="77"/>
      <c r="E91" s="77"/>
      <c r="F91" s="77"/>
      <c r="G91" s="77"/>
      <c r="H91" s="77"/>
      <c r="I91" s="77"/>
    </row>
    <row r="92" ht="31.5" customHeight="1">
      <c r="A92" s="83" t="s">
        <v>147</v>
      </c>
    </row>
    <row r="93" ht="15.75" customHeight="1">
      <c r="A93" s="77"/>
      <c r="B93" s="77"/>
      <c r="C93" s="77"/>
      <c r="D93" s="77"/>
      <c r="E93" s="77"/>
      <c r="F93" s="77"/>
      <c r="G93" s="77"/>
      <c r="H93" s="77"/>
      <c r="I93" s="77"/>
    </row>
    <row r="94" ht="15.75" customHeight="1">
      <c r="A94" s="77"/>
      <c r="B94" s="77"/>
      <c r="C94" s="77"/>
      <c r="D94" s="77"/>
      <c r="E94" s="77"/>
      <c r="F94" s="77"/>
      <c r="G94" s="77"/>
      <c r="H94" s="77"/>
      <c r="I94" s="77"/>
    </row>
    <row r="95" ht="15.75" customHeight="1">
      <c r="A95" s="77"/>
      <c r="B95" s="78"/>
      <c r="C95" s="77"/>
      <c r="D95" s="77"/>
      <c r="E95" s="77"/>
      <c r="F95" s="77"/>
      <c r="G95" s="77"/>
      <c r="H95" s="77"/>
      <c r="I95" s="77"/>
    </row>
    <row r="96" ht="14.25" customHeight="1">
      <c r="A96" s="90" t="s">
        <v>81</v>
      </c>
      <c r="E96" s="78" t="s">
        <v>82</v>
      </c>
    </row>
    <row r="97" ht="13.5" customHeight="1">
      <c r="A97" s="77"/>
      <c r="B97" s="77"/>
      <c r="C97" s="77"/>
      <c r="D97" s="77"/>
      <c r="E97" s="77"/>
      <c r="F97" s="77"/>
      <c r="G97" s="77"/>
      <c r="H97" s="77"/>
      <c r="I97" s="77"/>
    </row>
    <row r="98" ht="21.0" customHeight="1">
      <c r="A98" s="86" t="s">
        <v>148</v>
      </c>
      <c r="B98" s="95"/>
      <c r="C98" s="77"/>
      <c r="D98" s="77"/>
      <c r="E98" s="86" t="s">
        <v>149</v>
      </c>
      <c r="F98" s="77"/>
      <c r="G98" s="77"/>
      <c r="H98" s="77"/>
      <c r="I98" s="77"/>
    </row>
    <row r="99" ht="27.75" customHeight="1">
      <c r="A99" s="96" t="s">
        <v>150</v>
      </c>
      <c r="D99" s="76"/>
      <c r="E99" s="86" t="s">
        <v>151</v>
      </c>
      <c r="F99" s="76"/>
      <c r="G99" s="76"/>
      <c r="H99" s="76"/>
      <c r="I99" s="76"/>
    </row>
    <row r="100" ht="15.75" customHeight="1">
      <c r="A100" s="86" t="s">
        <v>152</v>
      </c>
      <c r="B100" s="76"/>
      <c r="C100" s="76"/>
      <c r="D100" s="76"/>
      <c r="E100" s="86" t="s">
        <v>153</v>
      </c>
      <c r="F100" s="76"/>
      <c r="G100" s="76"/>
      <c r="H100" s="76"/>
      <c r="I100" s="76"/>
    </row>
    <row r="101" ht="15.75" customHeight="1">
      <c r="A101" s="86" t="s">
        <v>154</v>
      </c>
      <c r="B101" s="76"/>
      <c r="C101" s="76"/>
      <c r="D101" s="76"/>
      <c r="E101" s="86" t="s">
        <v>155</v>
      </c>
      <c r="F101" s="76"/>
      <c r="G101" s="76"/>
      <c r="H101" s="76"/>
      <c r="I101" s="76"/>
    </row>
    <row r="102" ht="15.75" customHeight="1">
      <c r="A102" s="86" t="s">
        <v>156</v>
      </c>
      <c r="B102" s="95"/>
      <c r="C102" s="76"/>
      <c r="D102" s="76"/>
      <c r="E102" s="86" t="s">
        <v>157</v>
      </c>
      <c r="F102" s="76"/>
      <c r="G102" s="76"/>
      <c r="H102" s="76"/>
      <c r="I102" s="76"/>
    </row>
    <row r="103" ht="27.75" customHeight="1">
      <c r="A103" s="95" t="s">
        <v>158</v>
      </c>
      <c r="D103" s="76"/>
      <c r="E103" s="86" t="s">
        <v>159</v>
      </c>
      <c r="F103" s="76"/>
      <c r="G103" s="76"/>
      <c r="H103" s="76"/>
      <c r="I103" s="76"/>
    </row>
    <row r="104" ht="15.75" customHeight="1">
      <c r="A104" s="86" t="s">
        <v>160</v>
      </c>
      <c r="B104" s="76"/>
      <c r="C104" s="76"/>
      <c r="D104" s="76"/>
      <c r="E104" s="86" t="s">
        <v>161</v>
      </c>
      <c r="F104" s="76"/>
      <c r="G104" s="76"/>
      <c r="H104" s="76"/>
      <c r="I104" s="76"/>
    </row>
    <row r="105" ht="15.75" customHeight="1">
      <c r="A105" s="86" t="s">
        <v>162</v>
      </c>
      <c r="B105" s="76"/>
      <c r="C105" s="76"/>
      <c r="D105" s="76"/>
      <c r="E105" s="86"/>
      <c r="F105" s="76"/>
      <c r="G105" s="76"/>
      <c r="H105" s="76"/>
      <c r="I105" s="76"/>
    </row>
    <row r="106" ht="15.75" customHeight="1">
      <c r="A106" s="86" t="s">
        <v>163</v>
      </c>
      <c r="B106" s="76"/>
      <c r="C106" s="76"/>
      <c r="D106" s="76"/>
      <c r="E106" s="86"/>
      <c r="F106" s="76"/>
      <c r="G106" s="76"/>
      <c r="H106" s="76"/>
      <c r="I106" s="76"/>
    </row>
    <row r="107" ht="15.75" customHeight="1">
      <c r="A107" s="86" t="s">
        <v>164</v>
      </c>
      <c r="B107" s="76"/>
      <c r="C107" s="76"/>
      <c r="D107" s="76"/>
      <c r="E107" s="86"/>
      <c r="F107" s="76"/>
      <c r="G107" s="76"/>
      <c r="H107" s="76"/>
      <c r="I107" s="76"/>
    </row>
    <row r="108" ht="15.75" customHeight="1">
      <c r="A108" s="86" t="s">
        <v>165</v>
      </c>
      <c r="B108" s="76"/>
      <c r="C108" s="76"/>
      <c r="D108" s="76"/>
      <c r="E108" s="86"/>
      <c r="F108" s="76"/>
      <c r="G108" s="76"/>
      <c r="H108" s="76"/>
      <c r="I108" s="76"/>
    </row>
    <row r="109" ht="15.75" customHeight="1">
      <c r="A109" s="86" t="s">
        <v>143</v>
      </c>
      <c r="B109" s="76"/>
      <c r="C109" s="76"/>
      <c r="D109" s="76"/>
      <c r="E109" s="86"/>
      <c r="F109" s="76"/>
      <c r="G109" s="76"/>
      <c r="H109" s="76"/>
      <c r="I109" s="76"/>
    </row>
    <row r="110" ht="15.75" customHeight="1">
      <c r="A110" s="86"/>
      <c r="C110" s="76"/>
      <c r="D110" s="76"/>
      <c r="E110" s="86"/>
      <c r="F110" s="76"/>
      <c r="G110" s="76"/>
      <c r="H110" s="76"/>
      <c r="I110" s="76"/>
    </row>
    <row r="111" ht="15.75" customHeight="1"/>
    <row r="112" ht="15.75" customHeight="1">
      <c r="A112" s="97" t="s">
        <v>166</v>
      </c>
    </row>
    <row r="113" ht="15.75" customHeight="1">
      <c r="A113" s="98" t="s">
        <v>167</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I1"/>
    <mergeCell ref="A5:I8"/>
    <mergeCell ref="A9:I12"/>
    <mergeCell ref="A13:I16"/>
    <mergeCell ref="A18:C18"/>
    <mergeCell ref="E18:I18"/>
    <mergeCell ref="A22:D22"/>
    <mergeCell ref="A32:I32"/>
    <mergeCell ref="A36:I36"/>
    <mergeCell ref="A40:I40"/>
    <mergeCell ref="A44:D44"/>
    <mergeCell ref="E44:I44"/>
    <mergeCell ref="A61:I61"/>
    <mergeCell ref="A63:I63"/>
    <mergeCell ref="A96:D96"/>
    <mergeCell ref="A99:C99"/>
    <mergeCell ref="A103:C103"/>
    <mergeCell ref="A66:I66"/>
    <mergeCell ref="A70:D70"/>
    <mergeCell ref="E70:I70"/>
    <mergeCell ref="A88:I88"/>
    <mergeCell ref="A90:I90"/>
    <mergeCell ref="A92:I92"/>
    <mergeCell ref="E96:I96"/>
  </mergeCells>
  <hyperlinks>
    <hyperlink r:id="rId1" ref="A11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6.14"/>
    <col customWidth="1" min="3" max="3" width="25.57"/>
    <col customWidth="1" min="4" max="26" width="10.0"/>
  </cols>
  <sheetData>
    <row r="1">
      <c r="A1" s="99" t="s">
        <v>168</v>
      </c>
      <c r="B1" s="99" t="s">
        <v>169</v>
      </c>
      <c r="C1" s="99" t="s">
        <v>170</v>
      </c>
    </row>
    <row r="2">
      <c r="A2" s="25">
        <v>1.0</v>
      </c>
      <c r="B2" s="100" t="s">
        <v>171</v>
      </c>
      <c r="C2" s="100" t="s">
        <v>73</v>
      </c>
    </row>
    <row r="3">
      <c r="A3" s="25">
        <v>2.0</v>
      </c>
      <c r="B3" s="25"/>
      <c r="C3" s="25"/>
    </row>
    <row r="4">
      <c r="A4" s="25">
        <v>3.0</v>
      </c>
      <c r="B4" s="25"/>
      <c r="C4" s="25"/>
    </row>
    <row r="5">
      <c r="A5" s="25">
        <v>4.0</v>
      </c>
      <c r="B5" s="25"/>
      <c r="C5" s="25"/>
    </row>
    <row r="6">
      <c r="A6" s="25">
        <v>5.0</v>
      </c>
      <c r="B6" s="25"/>
      <c r="C6" s="25"/>
    </row>
    <row r="7">
      <c r="A7" s="25">
        <v>6.0</v>
      </c>
      <c r="B7" s="25"/>
      <c r="C7" s="25"/>
    </row>
    <row r="8">
      <c r="A8" s="25">
        <v>7.0</v>
      </c>
      <c r="B8" s="25"/>
      <c r="C8" s="25"/>
    </row>
    <row r="9">
      <c r="A9" s="25">
        <v>8.0</v>
      </c>
      <c r="B9" s="25"/>
      <c r="C9" s="25"/>
    </row>
    <row r="10">
      <c r="A10" s="25">
        <v>9.0</v>
      </c>
      <c r="B10" s="25"/>
      <c r="C10" s="25"/>
    </row>
    <row r="11">
      <c r="A11" s="25">
        <v>10.0</v>
      </c>
      <c r="B11" s="25"/>
      <c r="C11" s="25"/>
    </row>
    <row r="12">
      <c r="A12" s="25">
        <v>11.0</v>
      </c>
      <c r="B12" s="25"/>
      <c r="C12" s="25"/>
    </row>
    <row r="13">
      <c r="A13" s="25">
        <v>12.0</v>
      </c>
      <c r="B13" s="25"/>
      <c r="C13" s="25"/>
    </row>
    <row r="14">
      <c r="A14" s="25">
        <v>13.0</v>
      </c>
      <c r="B14" s="25"/>
      <c r="C14" s="25"/>
    </row>
    <row r="15">
      <c r="A15" s="25">
        <v>14.0</v>
      </c>
      <c r="B15" s="25"/>
      <c r="C15" s="25"/>
    </row>
    <row r="16">
      <c r="A16" s="25">
        <v>15.0</v>
      </c>
      <c r="B16" s="25"/>
      <c r="C16" s="25"/>
    </row>
    <row r="17">
      <c r="A17" s="25">
        <v>16.0</v>
      </c>
      <c r="B17" s="25"/>
      <c r="C17" s="25"/>
    </row>
    <row r="18">
      <c r="A18" s="25">
        <v>17.0</v>
      </c>
      <c r="B18" s="25"/>
      <c r="C18" s="25"/>
    </row>
    <row r="19">
      <c r="A19" s="25">
        <v>18.0</v>
      </c>
      <c r="B19" s="25"/>
      <c r="C19" s="25"/>
    </row>
    <row r="20">
      <c r="A20" s="25">
        <v>19.0</v>
      </c>
      <c r="B20" s="25"/>
      <c r="C20" s="25"/>
    </row>
    <row r="21" ht="15.75" customHeight="1">
      <c r="A21" s="25">
        <v>20.0</v>
      </c>
      <c r="B21" s="25"/>
      <c r="C21" s="25"/>
    </row>
    <row r="22" ht="15.75" customHeight="1">
      <c r="A22" s="25">
        <v>21.0</v>
      </c>
      <c r="B22" s="25"/>
      <c r="C22" s="25"/>
    </row>
    <row r="23" ht="15.75" customHeight="1">
      <c r="A23" s="25">
        <v>22.0</v>
      </c>
      <c r="B23" s="25"/>
      <c r="C23" s="25"/>
    </row>
    <row r="24" ht="15.75" customHeight="1">
      <c r="A24" s="25">
        <v>23.0</v>
      </c>
      <c r="B24" s="25"/>
      <c r="C24" s="25"/>
    </row>
    <row r="25" ht="15.75" customHeight="1">
      <c r="A25" s="25">
        <v>24.0</v>
      </c>
      <c r="B25" s="25"/>
      <c r="C25" s="25"/>
    </row>
    <row r="26" ht="15.75" customHeight="1">
      <c r="A26" s="25">
        <v>25.0</v>
      </c>
      <c r="B26" s="25"/>
      <c r="C26" s="25"/>
    </row>
    <row r="27" ht="15.75" customHeight="1">
      <c r="A27" s="25">
        <v>26.0</v>
      </c>
      <c r="B27" s="25"/>
      <c r="C27" s="25"/>
    </row>
    <row r="28" ht="15.75" customHeight="1">
      <c r="A28" s="25">
        <v>27.0</v>
      </c>
      <c r="B28" s="25"/>
      <c r="C28" s="25"/>
    </row>
    <row r="29" ht="15.75" customHeight="1">
      <c r="A29" s="25">
        <v>28.0</v>
      </c>
      <c r="B29" s="25"/>
      <c r="C29" s="25"/>
    </row>
    <row r="30" ht="15.75" customHeight="1">
      <c r="A30" s="25">
        <v>29.0</v>
      </c>
      <c r="B30" s="25"/>
      <c r="C30" s="25"/>
    </row>
    <row r="31" ht="15.75" customHeight="1">
      <c r="A31" s="25">
        <v>30.0</v>
      </c>
      <c r="B31" s="25"/>
      <c r="C31" s="25"/>
    </row>
    <row r="32" ht="15.75" customHeight="1">
      <c r="A32" s="25">
        <v>31.0</v>
      </c>
      <c r="B32" s="25"/>
      <c r="C32" s="25"/>
    </row>
    <row r="33" ht="15.75" customHeight="1">
      <c r="A33" s="25">
        <v>32.0</v>
      </c>
      <c r="B33" s="25"/>
      <c r="C33" s="25"/>
    </row>
    <row r="34" ht="15.75" customHeight="1">
      <c r="A34" s="25">
        <v>33.0</v>
      </c>
      <c r="B34" s="25"/>
      <c r="C34" s="25"/>
    </row>
    <row r="35" ht="15.75" customHeight="1">
      <c r="A35" s="25">
        <v>34.0</v>
      </c>
      <c r="B35" s="25"/>
      <c r="C35" s="25"/>
    </row>
    <row r="36" ht="15.75" customHeight="1">
      <c r="A36" s="25">
        <v>35.0</v>
      </c>
      <c r="B36" s="25"/>
      <c r="C36" s="25"/>
    </row>
    <row r="37" ht="15.75" customHeight="1">
      <c r="A37" s="25">
        <v>36.0</v>
      </c>
      <c r="B37" s="25"/>
      <c r="C37" s="2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2009-03-31T03:21:37Z</dcterms:created>
  <dc:creator>ROCIO HENAO</dc:creator>
</cp:coreProperties>
</file>

<file path=docProps/custom.xml><?xml version="1.0" encoding="utf-8"?>
<Properties xmlns="http://schemas.openxmlformats.org/officeDocument/2006/custom-properties" xmlns:vt="http://schemas.openxmlformats.org/officeDocument/2006/docPropsVTypes"/>
</file>