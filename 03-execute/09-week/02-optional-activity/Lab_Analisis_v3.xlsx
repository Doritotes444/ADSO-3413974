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Datos Crudos" sheetId="1" state="visible" r:id="rId3"/>
    <sheet name="T1 - Frecuencias" sheetId="2" state="visible" r:id="rId4"/>
    <sheet name="T2 - Estadisticas" sheetId="3" state="visible" r:id="rId5"/>
    <sheet name="T3 - Graficas" sheetId="4" state="visible" r:id="rId6"/>
    <sheet name="T5 - Priorizacion" sheetId="5" state="visible" r:id="rId7"/>
    <sheet name="T6 - Requisito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<sst xmlns="http://schemas.openxmlformats.org/spreadsheetml/2006/main" count="568" uniqueCount="380">
  <si>
    <t xml:space="preserve">DATOS RECOLECTADOS – Supermercado "La Esquina"  |  Laboratorio SENA 2025</t>
  </si>
  <si>
    <t xml:space="preserve">Fuentes: Entrevista Carlos Ruiz · Observación directa · Encuesta 15 clientes · Revisión documental D01–D06</t>
  </si>
  <si>
    <t xml:space="preserve">▶  ACTORES INTERNOS DEL NEGOCIO  (1 jefe + 3 empleados)</t>
  </si>
  <si>
    <t xml:space="preserve">Actor</t>
  </si>
  <si>
    <t xml:space="preserve">Rol</t>
  </si>
  <si>
    <t xml:space="preserve">Instrumento aplicado</t>
  </si>
  <si>
    <t xml:space="preserve">Funcionalidad prioritaria</t>
  </si>
  <si>
    <t xml:space="preserve">Ventas atendidas/día</t>
  </si>
  <si>
    <t xml:space="preserve">Facturación electrónica</t>
  </si>
  <si>
    <t xml:space="preserve">Observación clave</t>
  </si>
  <si>
    <t xml:space="preserve">Carlos Ruiz</t>
  </si>
  <si>
    <t xml:space="preserve">Propietario / Jefe</t>
  </si>
  <si>
    <t xml:space="preserve">Entrevista semiestr. P1–P12</t>
  </si>
  <si>
    <t xml:space="preserve">POS rápido + alerta stock</t>
  </si>
  <si>
    <t xml:space="preserve">Sí</t>
  </si>
  <si>
    <t xml:space="preserve">Único responsable de decisiones; opera caja en horario completo; resistencia moderada al cambio tecnológico</t>
  </si>
  <si>
    <t xml:space="preserve">Martha Suárez</t>
  </si>
  <si>
    <t xml:space="preserve">Cajera tiempo completo</t>
  </si>
  <si>
    <t xml:space="preserve">Observación directa + doc. revisada</t>
  </si>
  <si>
    <t xml:space="preserve">Registro de ventas claro</t>
  </si>
  <si>
    <t xml:space="preserve">No sabe</t>
  </si>
  <si>
    <t xml:space="preserve">Anota en cuaderno; caligrafía variable; comete errores al sumar en horas pico</t>
  </si>
  <si>
    <t xml:space="preserve">Julián Torres</t>
  </si>
  <si>
    <t xml:space="preserve">Empleado tiempo completo</t>
  </si>
  <si>
    <t xml:space="preserve">Observación directa + entrevista inf.</t>
  </si>
  <si>
    <t xml:space="preserve">Cobro rápido al cliente</t>
  </si>
  <si>
    <t xml:space="preserve">No le importa</t>
  </si>
  <si>
    <t xml:space="preserve">Turno 8am–4pm; más errores al sumar durante hora pico (12–2pm)</t>
  </si>
  <si>
    <t xml:space="preserve">Diego Morales</t>
  </si>
  <si>
    <t xml:space="preserve">Empleado medio tiempo</t>
  </si>
  <si>
    <t xml:space="preserve">Entrevista informal</t>
  </si>
  <si>
    <t xml:space="preserve">Ver precios actualizados</t>
  </si>
  <si>
    <t xml:space="preserve">Turno tarde 2pm–7pm; consulta mucho el cuaderno de precios; reportó cobro incorrecto a un cliente</t>
  </si>
  <si>
    <t xml:space="preserve">★ Carlos Ruiz es el ÚNICO jefe/propietario. Martha, Julián y Diego son empleados bajo su dirección.</t>
  </si>
  <si>
    <t xml:space="preserve">▶  CLIENTES ENCUESTADOS  (n = 15  |  muestra real del role-play)</t>
  </si>
  <si>
    <t xml:space="preserve">Nombre</t>
  </si>
  <si>
    <t xml:space="preserve">Ítem encuesta</t>
  </si>
  <si>
    <t xml:space="preserve">Respuesta simulada (síntesis)</t>
  </si>
  <si>
    <t xml:space="preserve">Velocidad atención
(1–5)</t>
  </si>
  <si>
    <t xml:space="preserve">Pago digital</t>
  </si>
  <si>
    <t xml:space="preserve">Tiquete/Factura</t>
  </si>
  <si>
    <t xml:space="preserve">Mejora más urgente</t>
  </si>
  <si>
    <t xml:space="preserve">Ana Moreno</t>
  </si>
  <si>
    <t xml:space="preserve">E2</t>
  </si>
  <si>
    <t xml:space="preserve">Espera mucho cuando lleva varias cosas; le da rabia la cola</t>
  </si>
  <si>
    <t xml:space="preserve">2</t>
  </si>
  <si>
    <t xml:space="preserve">—</t>
  </si>
  <si>
    <t xml:space="preserve">No la necesita</t>
  </si>
  <si>
    <t xml:space="preserve">Cobro más rápido</t>
  </si>
  <si>
    <t xml:space="preserve">Luis Peña</t>
  </si>
  <si>
    <t xml:space="preserve">E4</t>
  </si>
  <si>
    <t xml:space="preserve">Paga con Nequi en todos lados; aquí pierde tiempo buscando efectivo</t>
  </si>
  <si>
    <t xml:space="preserve">Sí siempre</t>
  </si>
  <si>
    <t xml:space="preserve">Pagos digitales</t>
  </si>
  <si>
    <t xml:space="preserve">Rosa Vargas</t>
  </si>
  <si>
    <t xml:space="preserve">E6</t>
  </si>
  <si>
    <t xml:space="preserve">Le cobraron el aceite más caro que el letrero; tuvo que reclamar</t>
  </si>
  <si>
    <t xml:space="preserve">Precios visibles y claros</t>
  </si>
  <si>
    <t xml:space="preserve">Pedro Jiménez</t>
  </si>
  <si>
    <t xml:space="preserve">E5</t>
  </si>
  <si>
    <t xml:space="preserve">No le importa el tiquete, pero su señora sí pide recibo escrito</t>
  </si>
  <si>
    <t xml:space="preserve">4</t>
  </si>
  <si>
    <t xml:space="preserve">A veces necesita</t>
  </si>
  <si>
    <t xml:space="preserve">Gloria Castillo</t>
  </si>
  <si>
    <t xml:space="preserve">E8</t>
  </si>
  <si>
    <t xml:space="preserve">Lo más urgente: cobrar rápido y que uno vea el precio antes de pagar</t>
  </si>
  <si>
    <t xml:space="preserve">Cobro rápido + precios claros</t>
  </si>
  <si>
    <t xml:space="preserve">Camila Ríos</t>
  </si>
  <si>
    <t xml:space="preserve">Usa Daviplata; a veces no trae billete y se devuelve sin comprar</t>
  </si>
  <si>
    <t xml:space="preserve">Hernán Ospina</t>
  </si>
  <si>
    <t xml:space="preserve">E3</t>
  </si>
  <si>
    <t xml:space="preserve">Ha esperado 5 min porque el empleado no encontraba el precio en el cuaderno</t>
  </si>
  <si>
    <t xml:space="preserve">Sofía Mendoza</t>
  </si>
  <si>
    <t xml:space="preserve">Califica 3/5; dice que cuando hay fila el proceso es muy lento</t>
  </si>
  <si>
    <t xml:space="preserve">3</t>
  </si>
  <si>
    <t xml:space="preserve">Ricardo Leal</t>
  </si>
  <si>
    <t xml:space="preserve">Quiere pagar con tarjeta; pierde ventas el supermercado por eso</t>
  </si>
  <si>
    <t xml:space="preserve">A veces</t>
  </si>
  <si>
    <t xml:space="preserve">Carmen Acosta</t>
  </si>
  <si>
    <t xml:space="preserve">Siempre pide tiquete para llevar el control del gasto familiar</t>
  </si>
  <si>
    <t xml:space="preserve">Siempre la pide</t>
  </si>
  <si>
    <t xml:space="preserve">Tiquete de compra</t>
  </si>
  <si>
    <t xml:space="preserve">Felipe Salcedo</t>
  </si>
  <si>
    <t xml:space="preserve">Notó que el precio del cuaderno y el de la estantería diferían</t>
  </si>
  <si>
    <t xml:space="preserve">Yolanda Bermúdez</t>
  </si>
  <si>
    <t xml:space="preserve">Da 4/5 a velocidad; vive cerca y los empleados la conocen bien</t>
  </si>
  <si>
    <t xml:space="preserve">Más productos disponibles</t>
  </si>
  <si>
    <t xml:space="preserve">Andrés Quintero</t>
  </si>
  <si>
    <t xml:space="preserve">Prefiere efectivo pero apoyaría pagos digitales para su hijo</t>
  </si>
  <si>
    <t xml:space="preserve">Patricia Molina</t>
  </si>
  <si>
    <t xml:space="preserve">Necesita tiquete para rendir cuentas en casa; lo pide siempre</t>
  </si>
  <si>
    <t xml:space="preserve">Iván Guerrero</t>
  </si>
  <si>
    <t xml:space="preserve">Urgente: poder ver el precio en pantalla para no tener que preguntar</t>
  </si>
  <si>
    <t xml:space="preserve">▶  DOCUMENTOS REVISADOS (D01–D06)</t>
  </si>
  <si>
    <t xml:space="preserve">Código</t>
  </si>
  <si>
    <t xml:space="preserve">Documento</t>
  </si>
  <si>
    <t xml:space="preserve">Tipo</t>
  </si>
  <si>
    <t xml:space="preserve">Hallazgo clave</t>
  </si>
  <si>
    <t xml:space="preserve">D01</t>
  </si>
  <si>
    <t xml:space="preserve">Cuaderno de ventas diarias</t>
  </si>
  <si>
    <t xml:space="preserve">Manual/Físico</t>
  </si>
  <si>
    <t xml:space="preserve">35–50 transacciones/día; sin clasificación por producto ni hora pico</t>
  </si>
  <si>
    <t xml:space="preserve">D02</t>
  </si>
  <si>
    <t xml:space="preserve">Cuaderno de fiado/crédito</t>
  </si>
  <si>
    <t xml:space="preserve">12 clientes activos; deuda prom. $28.000 COP; sin columna de abonos</t>
  </si>
  <si>
    <t xml:space="preserve">D03</t>
  </si>
  <si>
    <t xml:space="preserve">Facturas de proveedores</t>
  </si>
  <si>
    <t xml:space="preserve">Físico/Papel</t>
  </si>
  <si>
    <t xml:space="preserve">3 proveedores; precios sin digitalizar; sin comparativo histórico</t>
  </si>
  <si>
    <t xml:space="preserve">D04</t>
  </si>
  <si>
    <t xml:space="preserve">Lista de precios</t>
  </si>
  <si>
    <t xml:space="preserve">Hoja suelta</t>
  </si>
  <si>
    <t xml:space="preserve">8 de 90 productos con precio distinto al de estantería; sin fecha</t>
  </si>
  <si>
    <t xml:space="preserve">D05</t>
  </si>
  <si>
    <t xml:space="preserve">Registro de pedidos</t>
  </si>
  <si>
    <t xml:space="preserve">Libreta</t>
  </si>
  <si>
    <t xml:space="preserve">Sin cantidades mínimas; pedidos por memoria de Carlos Ruiz</t>
  </si>
  <si>
    <t xml:space="preserve">D06</t>
  </si>
  <si>
    <t xml:space="preserve">Corte de caja diario</t>
  </si>
  <si>
    <t xml:space="preserve">Hoja manual</t>
  </si>
  <si>
    <t xml:space="preserve">Sin desglose por producto; no identifica el producto más vendido</t>
  </si>
  <si>
    <t xml:space="preserve">T1 – TABLA DE FRECUENCIAS: Mejoras solicitadas (actores internos + 15 clientes)</t>
  </si>
  <si>
    <t xml:space="preserve">Fuente: Entrevista Carlos Ruiz · Encuesta E8 (15 clientes) · Observación directa · Entrevistas informales empleados</t>
  </si>
  <si>
    <t xml:space="preserve">2A · Frecuencia de menciones por funcionalidad solicitada</t>
  </si>
  <si>
    <t xml:space="preserve">Funcionalidad / Mejora</t>
  </si>
  <si>
    <t xml:space="preserve">Actores internos
que la mencionan</t>
  </si>
  <si>
    <t xml:space="preserve">Clientes
que la mencionan</t>
  </si>
  <si>
    <t xml:space="preserve">Total menciones</t>
  </si>
  <si>
    <t xml:space="preserve">% del total
(n=19)</t>
  </si>
  <si>
    <t xml:space="preserve">Acumulado %</t>
  </si>
  <si>
    <t xml:space="preserve">MoSCoW</t>
  </si>
  <si>
    <t xml:space="preserve">POS – Cobro rápido / registro de venta</t>
  </si>
  <si>
    <t xml:space="preserve">47.4%</t>
  </si>
  <si>
    <t xml:space="preserve">Must Have 🔴</t>
  </si>
  <si>
    <t xml:space="preserve">Precios visibles y claros al cliente</t>
  </si>
  <si>
    <t xml:space="preserve">26.3%</t>
  </si>
  <si>
    <t xml:space="preserve">73.7%</t>
  </si>
  <si>
    <t xml:space="preserve">Control de inventario + alertas stock</t>
  </si>
  <si>
    <t xml:space="preserve">10.5%</t>
  </si>
  <si>
    <t xml:space="preserve">84.2%</t>
  </si>
  <si>
    <t xml:space="preserve">Pagos digitales (Nequi/Daviplata/tarjeta)</t>
  </si>
  <si>
    <t xml:space="preserve">21.1%</t>
  </si>
  <si>
    <t xml:space="preserve">105.3%</t>
  </si>
  <si>
    <t xml:space="preserve">Should Have 🟠</t>
  </si>
  <si>
    <t xml:space="preserve">Tiquete / factura de compra</t>
  </si>
  <si>
    <t xml:space="preserve">115.8%</t>
  </si>
  <si>
    <t xml:space="preserve">Gestión de crédito / fiado</t>
  </si>
  <si>
    <t xml:space="preserve">5.3%</t>
  </si>
  <si>
    <t xml:space="preserve">121.1%</t>
  </si>
  <si>
    <t xml:space="preserve">TOTAL (todos los actores)</t>
  </si>
  <si>
    <t xml:space="preserve">100%</t>
  </si>
  <si>
    <t xml:space="preserve">📌 Interpretación: El POS (cobro rápido) lidera con 9 menciones (47.4%): los 4 actores internos lo requieren porque el 44% del tiempo de cada transacción se gasta en suma manual (ficha de observación), y 5 de 15 clientes reportaron tiempos de espera inaceptables. 'Precios visibles' sube al 2° lugar con 5 menciones (26.3%), impulsado por 4 clientes y confirmado por el documento D04 (8 precios incorrectos). Esto valida RF01 y RF02 como los dos Must Have de mayor peso en el MVP.</t>
  </si>
  <si>
    <t xml:space="preserve">2B · Ítem E2 – Satisfacción con velocidad de atención (Likert 1–5)  |  n = 4 clientes que respondieron</t>
  </si>
  <si>
    <t xml:space="preserve">Calificación</t>
  </si>
  <si>
    <t xml:space="preserve">Descripción</t>
  </si>
  <si>
    <t xml:space="preserve">Clientes que respondieron</t>
  </si>
  <si>
    <t xml:space="preserve">Frecuencia</t>
  </si>
  <si>
    <t xml:space="preserve">% (n=4)</t>
  </si>
  <si>
    <t xml:space="preserve">Acum. %</t>
  </si>
  <si>
    <t xml:space="preserve">Muy insatisfecho</t>
  </si>
  <si>
    <t xml:space="preserve">0.0%</t>
  </si>
  <si>
    <t xml:space="preserve">Insatisfecho</t>
  </si>
  <si>
    <t xml:space="preserve">25.0%</t>
  </si>
  <si>
    <t xml:space="preserve">Neutral – hay espera</t>
  </si>
  <si>
    <t xml:space="preserve">50.0%</t>
  </si>
  <si>
    <t xml:space="preserve">Satisfecho</t>
  </si>
  <si>
    <t xml:space="preserve">Pedro Jiménez, Yolanda Bermúdez</t>
  </si>
  <si>
    <t xml:space="preserve">100.0%</t>
  </si>
  <si>
    <t xml:space="preserve">Muy satisfecho</t>
  </si>
  <si>
    <t xml:space="preserve">TOTAL clientes que respondieron E2</t>
  </si>
  <si>
    <t xml:space="preserve">📌 E2: Promedio ponderado = (2×1 + 3×1 + 4×2) / 4 = 3.25 / 5. Ningún cliente alcanzó 5/5. El 50% calificó ≤3 (insatisfecho o neutral). Combinado con E3 (tiempos de espera por suma manual), el ISS indica que la velocidad de atención es el principal punto de dolor externo, alineado con el hallazgo de observación del 44% del tiempo en suma.</t>
  </si>
  <si>
    <t xml:space="preserve">T2 – ANÁLISIS ESTADÍSTICO DE DATOS OPERATIVOS</t>
  </si>
  <si>
    <t xml:space="preserve">Fuentes: D01 (cuaderno ventas ene–sep 2024) · Ficha Observación (proceso venta) · Entrevista Carlos Ruiz</t>
  </si>
  <si>
    <t xml:space="preserve">3A · Distribución de transacciones diarias por actor  (fuente: D01 + observación directa)</t>
  </si>
  <si>
    <t xml:space="preserve">Turno / Jornada</t>
  </si>
  <si>
    <t xml:space="preserve">Transacciones
estimadas/día</t>
  </si>
  <si>
    <t xml:space="preserve">% del total
diario</t>
  </si>
  <si>
    <t xml:space="preserve">Nota / Instrumento fuente</t>
  </si>
  <si>
    <t xml:space="preserve">Completo 7am–7pm</t>
  </si>
  <si>
    <t xml:space="preserve">Principal cajero; opera jornada completa. D01 muestra su firma más frecuente</t>
  </si>
  <si>
    <t xml:space="preserve">Completo 7am–4pm</t>
  </si>
  <si>
    <t xml:space="preserve">Apoya caja en horas pico y releva a Carlos. Letra menos legible en D01</t>
  </si>
  <si>
    <t xml:space="preserve">Completo 8am–4pm</t>
  </si>
  <si>
    <t xml:space="preserve">Turno mañana; comete más errores al sumar en hora pico (12–2pm, observación)</t>
  </si>
  <si>
    <t xml:space="preserve">Tarde 2pm–7pm</t>
  </si>
  <si>
    <t xml:space="preserve">Cubre cierre; consulta cuaderno de precios con mayor frecuencia; identificó cobro incorrecto (D04)</t>
  </si>
  <si>
    <t xml:space="preserve">TOTAL DIARIO ESTIMADO</t>
  </si>
  <si>
    <t xml:space="preserve">📌 D01 registra entre 35 y 50 transacciones/día (promedio=42.5). La distribución por actor es estimada desde la observación directa: Carlos Ruiz atiende ~70% por ser el principal cajero; Martha ~12%, Julián ~10% y Diego ~7% (turno tarde, menor afluencia). El sistema debe soportar mínimo 53 trans/día (promedio + 25% buffer para días de alto tráfico).</t>
  </si>
  <si>
    <t xml:space="preserve">3B · Tiempos del proceso de venta – Ficha de Observación directa (horario pico 12:00–14:00)</t>
  </si>
  <si>
    <t xml:space="preserve">Paso del proceso</t>
  </si>
  <si>
    <t xml:space="preserve">T. Mín
(seg)</t>
  </si>
  <si>
    <t xml:space="preserve">T. Máx
(seg)</t>
  </si>
  <si>
    <t xml:space="preserve">T. Promedio
(seg)</t>
  </si>
  <si>
    <t xml:space="preserve">% del tiempo
total</t>
  </si>
  <si>
    <t xml:space="preserve">Nivel de error</t>
  </si>
  <si>
    <t xml:space="preserve">1. Cliente trae productos</t>
  </si>
  <si>
    <t xml:space="preserve">Bajo</t>
  </si>
  <si>
    <t xml:space="preserve">2. Identificar precio (cuaderno/mem.)</t>
  </si>
  <si>
    <t xml:space="preserve">Alto ⚠️</t>
  </si>
  <si>
    <t xml:space="preserve">3. Sumar precios con calculadora</t>
  </si>
  <si>
    <t xml:space="preserve">Alto ⚠️ – 44% del total</t>
  </si>
  <si>
    <t xml:space="preserve">4. Anotar venta en cuaderno</t>
  </si>
  <si>
    <t xml:space="preserve">Medio</t>
  </si>
  <si>
    <t xml:space="preserve">5. Calcular y entregar cambio</t>
  </si>
  <si>
    <t xml:space="preserve">6. Archivar tiquete/recibo</t>
  </si>
  <si>
    <t xml:space="preserve">TOTAL PROMEDIO POR TRANSACCIÓN (seg)</t>
  </si>
  <si>
    <t xml:space="preserve">3C · Estadísticas calculadas y su implicación para el MVP</t>
  </si>
  <si>
    <t xml:space="preserve">Indicador</t>
  </si>
  <si>
    <t xml:space="preserve">Fórmula / Fuente</t>
  </si>
  <si>
    <t xml:space="preserve">Valor</t>
  </si>
  <si>
    <t xml:space="preserve">Implicación para el MVP</t>
  </si>
  <si>
    <t xml:space="preserve">Promedio trans./día (D01)</t>
  </si>
  <si>
    <t xml:space="preserve">AVERAGE(35, 50)</t>
  </si>
  <si>
    <t xml:space="preserve">El sistema debe soportar mínimo 53 ventas/día (prom + 25% buffer)</t>
  </si>
  <si>
    <t xml:space="preserve">Buffer de capacidad recomendado (+25%)</t>
  </si>
  <si>
    <t xml:space="preserve">42.5 × 1.25</t>
  </si>
  <si>
    <t xml:space="preserve">Umbral de diseño de carga para el módulo POS</t>
  </si>
  <si>
    <t xml:space="preserve">Tiempo promedio por venta – actual</t>
  </si>
  <si>
    <t xml:space="preserve">SUM pasos observación</t>
  </si>
  <si>
    <t xml:space="preserve">Línea base: ~382 seg. Meta post-MVP: reducción del 60% → ~153 seg</t>
  </si>
  <si>
    <t xml:space="preserve">% tiempo en suma manual (paso 3)</t>
  </si>
  <si>
    <t xml:space="preserve">D18 / Total × 100</t>
  </si>
  <si>
    <t xml:space="preserve">44% del tiempo se elimina con catálogo digital (RF01 + RF02)</t>
  </si>
  <si>
    <t xml:space="preserve">Actores que reportan cobro lento</t>
  </si>
  <si>
    <t xml:space="preserve">Internos + encuesta E2/E8</t>
  </si>
  <si>
    <t xml:space="preserve">9 de 19 actores (47.4%) priorizan velocidad → prioridad crítica RF01</t>
  </si>
  <si>
    <t xml:space="preserve">Clientes que quieren pago digital</t>
  </si>
  <si>
    <t xml:space="preserve">Encuesta E4: Luis, Camila, Ricardo, Andrés</t>
  </si>
  <si>
    <t xml:space="preserve">4/15 clientes (26.7%) → Should Have RF (pagos digitales)</t>
  </si>
  <si>
    <t xml:space="preserve">Cartera activa clientes fiado (D02)</t>
  </si>
  <si>
    <t xml:space="preserve">12 clientes × $28.000 prom</t>
  </si>
  <si>
    <t xml:space="preserve">$ 336.000 COP en cartera sin control → justifica RF05 (gestión crédito)</t>
  </si>
  <si>
    <t xml:space="preserve">Productos con precio incorrecto (D04)</t>
  </si>
  <si>
    <t xml:space="preserve">Conteo manual D04</t>
  </si>
  <si>
    <t xml:space="preserve">8/90 productos (~9%) con error de precio → 3 clientes lo reportaron</t>
  </si>
  <si>
    <t xml:space="preserve">ISS promedio velocidad (E2 respondentes)</t>
  </si>
  <si>
    <t xml:space="preserve">(2+3+4+4)/4</t>
  </si>
  <si>
    <t xml:space="preserve">ISS = 3.25/5 → por debajo del umbral aceptable (≥4.0) → RF01 urgente</t>
  </si>
  <si>
    <t xml:space="preserve">T3 – VISUALIZACIÓN DE DATOS  |  Supermercado "La Esquina"  |  n = 19 actores</t>
  </si>
  <si>
    <t xml:space="preserve">Funcionalidad</t>
  </si>
  <si>
    <t xml:space="preserve">POS – Cobro rápido</t>
  </si>
  <si>
    <t xml:space="preserve">Precios visibles</t>
  </si>
  <si>
    <t xml:space="preserve">Control inventario</t>
  </si>
  <si>
    <t xml:space="preserve">Gestión fiado</t>
  </si>
  <si>
    <t xml:space="preserve">Paso</t>
  </si>
  <si>
    <t xml:space="preserve">T. Promedio (seg)</t>
  </si>
  <si>
    <t xml:space="preserve">Traer productos</t>
  </si>
  <si>
    <t xml:space="preserve">Identificar precio</t>
  </si>
  <si>
    <t xml:space="preserve">Sumar (calculadora)</t>
  </si>
  <si>
    <t xml:space="preserve">Anotar en cuaderno</t>
  </si>
  <si>
    <t xml:space="preserve">Cambio</t>
  </si>
  <si>
    <t xml:space="preserve">Archivar tiquete</t>
  </si>
  <si>
    <t xml:space="preserve">Calif. 1</t>
  </si>
  <si>
    <t xml:space="preserve">Calif. 2</t>
  </si>
  <si>
    <t xml:space="preserve">Calif. 3</t>
  </si>
  <si>
    <t xml:space="preserve">Calif. 4</t>
  </si>
  <si>
    <t xml:space="preserve">Calif. 5</t>
  </si>
  <si>
    <t xml:space="preserve">📌 G1: El POS domina con 9/19 menciones (47.4%). 'Precios visibles' ocupa el 2° lugar con 5 menciones (26.3%), impulsado principalmente por clientes: Rosa Vargas, Hernán Ospina, Felipe Salcedo e Iván Guerrero + el empleado Diego Morales.</t>
  </si>
  <si>
    <t xml:space="preserve">📌 G2: Paso 3 (sumar con calculadora) = 120 seg = 44% del total (382 seg). Eliminar este paso con el POS digital reduce la transacción a ~145 seg → ahorro del 62% por venta. Con 53 ventas/día, se recuperan ~3.7 horas de trabajo diario.</t>
  </si>
  <si>
    <t xml:space="preserve">T5 – MATRIZ DE PRIORIZACIÓN (Modelo MoSCoW)</t>
  </si>
  <si>
    <t xml:space="preserve">Importancia y Urgencia 1–3  |  Prioridad = I × U  |  Must Have ≥7 · Should Have 4–6 · Could Have ≤3</t>
  </si>
  <si>
    <t xml:space="preserve">ID</t>
  </si>
  <si>
    <t xml:space="preserve">Nombre del Requisito</t>
  </si>
  <si>
    <t xml:space="preserve">Fuente documental / Actor</t>
  </si>
  <si>
    <t xml:space="preserve">Importancia
(1–3)</t>
  </si>
  <si>
    <t xml:space="preserve">Urgencia
(1–3)</t>
  </si>
  <si>
    <t xml:space="preserve">Prioridad
(I×U)</t>
  </si>
  <si>
    <t xml:space="preserve">RF01</t>
  </si>
  <si>
    <t xml:space="preserve">Registro de Venta / POS básico</t>
  </si>
  <si>
    <t xml:space="preserve">Funcional</t>
  </si>
  <si>
    <t xml:space="preserve">Entrevista Carlos Ruiz P1 · Obs. Pasos 2–3 · 5 clientes (Ana, Sofía, Gloria, Hernán, Gloria C.)</t>
  </si>
  <si>
    <t xml:space="preserve">RF02</t>
  </si>
  <si>
    <t xml:space="preserve">Catálogo de Productos (90 items)</t>
  </si>
  <si>
    <t xml:space="preserve">Entrevista P2 · D04 (8 precios incorrectos) · Diego Morales reportó cobro erróneo</t>
  </si>
  <si>
    <t xml:space="preserve">RF03</t>
  </si>
  <si>
    <t xml:space="preserve">Control Inventario + alertas stock</t>
  </si>
  <si>
    <t xml:space="preserve">Entrevista P3 · D05 (pedidos por memoria) · D01</t>
  </si>
  <si>
    <t xml:space="preserve">RNF01</t>
  </si>
  <si>
    <t xml:space="preserve">Interfaz intuitiva (≤2h inducción)</t>
  </si>
  <si>
    <t xml:space="preserve">No Funcional</t>
  </si>
  <si>
    <t xml:space="preserve">Entrevista P10: Carlos Ruiz declaró miedo a sistemas complejos</t>
  </si>
  <si>
    <t xml:space="preserve">RNF02</t>
  </si>
  <si>
    <t xml:space="preserve">Modo offline obligatorio</t>
  </si>
  <si>
    <t xml:space="preserve">Entrevista P11: internet básico domiciliario, caídas ocasionales</t>
  </si>
  <si>
    <t xml:space="preserve">RNF04</t>
  </si>
  <si>
    <t xml:space="preserve">Control de acceso por roles</t>
  </si>
  <si>
    <t xml:space="preserve">Carlos=Admin total · Martha/Julián/Diego=solo ventas e inv. lectura</t>
  </si>
  <si>
    <t xml:space="preserve">RF04</t>
  </si>
  <si>
    <t xml:space="preserve">Corte de Caja Diario</t>
  </si>
  <si>
    <t xml:space="preserve">Entrevista P6 · D06 (sin desglose por producto)</t>
  </si>
  <si>
    <t xml:space="preserve">RF05</t>
  </si>
  <si>
    <t xml:space="preserve">Gestión de Crédito / Fiado</t>
  </si>
  <si>
    <t xml:space="preserve">Entrevista P8 · D02: 12 clientes, $336.000 COP cartera activa</t>
  </si>
  <si>
    <t xml:space="preserve">RF06</t>
  </si>
  <si>
    <t xml:space="preserve">Tiquete de Venta (PDF/WhatsApp)</t>
  </si>
  <si>
    <t xml:space="preserve">Encuesta E5: Carmen Acosta y Patricia Molina piden tiquete siempre</t>
  </si>
  <si>
    <t xml:space="preserve">RNF03</t>
  </si>
  <si>
    <t xml:space="preserve">Tiempo respuesta ≤3 seg</t>
  </si>
  <si>
    <t xml:space="preserve">Obs. Paso 3 (cuello de botella 44%): meta post-MVP ≤3 seg</t>
  </si>
  <si>
    <t xml:space="preserve">RNF05</t>
  </si>
  <si>
    <t xml:space="preserve">Compatible hardware bajo costo</t>
  </si>
  <si>
    <t xml:space="preserve">Entrevista P12: presupuesto limitado. Android ≥8 o PC Win10 2GB</t>
  </si>
  <si>
    <t xml:space="preserve">RF07</t>
  </si>
  <si>
    <t xml:space="preserve">Historial de Ventas con filtros</t>
  </si>
  <si>
    <t xml:space="preserve">Entrevista P6 · D01 (sin clasificación por empleado o producto)</t>
  </si>
  <si>
    <t xml:space="preserve">Could Have 🟡</t>
  </si>
  <si>
    <t xml:space="preserve">RNF06</t>
  </si>
  <si>
    <t xml:space="preserve">Actualización catálogo sin técnico</t>
  </si>
  <si>
    <t xml:space="preserve">D04: 8 precios desactualizados por falta de mecanismo fácil</t>
  </si>
  <si>
    <t xml:space="preserve">RF08</t>
  </si>
  <si>
    <t xml:space="preserve">Gestión de Proveedores</t>
  </si>
  <si>
    <t xml:space="preserve">Entrevista P5 · D03: Alimentos del Sur, Bebidas La Unión, Pan de Horno</t>
  </si>
  <si>
    <t xml:space="preserve">RNF07</t>
  </si>
  <si>
    <t xml:space="preserve">Escalabilidad 300 productos</t>
  </si>
  <si>
    <t xml:space="preserve">Entrevista P12: visión de crecimiento del negocio</t>
  </si>
  <si>
    <t xml:space="preserve">RNF08</t>
  </si>
  <si>
    <t xml:space="preserve">Backup automático diario</t>
  </si>
  <si>
    <t xml:space="preserve">D01–D06 todos manuales sin respaldo. Riesgo pérdida total de datos</t>
  </si>
  <si>
    <t xml:space="preserve">T6 – ESPECIFICACIÓN CONSOLIDADA DE REQUISITOS – MVP "La Esquina"</t>
  </si>
  <si>
    <t xml:space="preserve">Competencia 220501046 · SENA 2025  |  Basado en: Sommerville 2016 · MoSCoW · NTC-ISO/IEC 25010</t>
  </si>
  <si>
    <t xml:space="preserve">Descripción funcional</t>
  </si>
  <si>
    <t xml:space="preserve">Fuente / Actor que lo originó</t>
  </si>
  <si>
    <t xml:space="preserve">Módulo</t>
  </si>
  <si>
    <t xml:space="preserve">POS – Registro de Venta</t>
  </si>
  <si>
    <t xml:space="preserve">Registrar venta seleccionando productos del catálogo; el sistema calcula el total automáticamente y registra método de pago (efectivo/digital). Elimina el paso 3 de la ficha de observación.</t>
  </si>
  <si>
    <t xml:space="preserve">Carlos Ruiz (P1) · Martha, Julián, Diego (obs.) · 5 clientes encuesta E8: Ana Moreno, Sofía Mendoza, Gloria Castillo, Hernán Ospina, Ricardo Leal</t>
  </si>
  <si>
    <t xml:space="preserve">Ventas</t>
  </si>
  <si>
    <t xml:space="preserve">Catálogo de Productos</t>
  </si>
  <si>
    <t xml:space="preserve">Gestionar catálogo de hasta 90 productos con nombre, precio, categoría y stock. Búsqueda por nombre. Soluciona D04 (8 precios incorrectos detectados por Diego Morales y 3 clientes).</t>
  </si>
  <si>
    <t xml:space="preserve">Carlos Ruiz (P2) · D04 · Diego Morales · Rosa Vargas, Hernán Ospina, Felipe Salcedo, Iván Guerrero</t>
  </si>
  <si>
    <t xml:space="preserve">Inventario</t>
  </si>
  <si>
    <t xml:space="preserve">Control de Inventario + alertas</t>
  </si>
  <si>
    <t xml:space="preserve">Actualizar stock al registrar venta. Alertar cuando producto alcance mínimo. Resuelve D05 (pedidos por memoria de Carlos Ruiz) y el 'se me acabó sin darme cuenta' de la entrevista.</t>
  </si>
  <si>
    <t xml:space="preserve">Carlos Ruiz (P3) · D05 · D01</t>
  </si>
  <si>
    <t xml:space="preserve">Resumen de ventas del día: total efectivo, total digital, diferencia vs. caja física. D06 actual no permite identificar producto más vendido ni hora pico.</t>
  </si>
  <si>
    <t xml:space="preserve">Carlos Ruiz (P6) · D06</t>
  </si>
  <si>
    <t xml:space="preserve">Reportes</t>
  </si>
  <si>
    <t xml:space="preserve">Registrar créditos, abonos y saldo por cliente. Alertas de vencimiento. D02: 12 clientes activos (ej. vecinos de confianza), deuda promedio $28.000 COP = $336.000 cartera total.</t>
  </si>
  <si>
    <t xml:space="preserve">Carlos Ruiz (P8) · D02</t>
  </si>
  <si>
    <t xml:space="preserve">Clientes</t>
  </si>
  <si>
    <t xml:space="preserve">Tiquete de Venta</t>
  </si>
  <si>
    <t xml:space="preserve">Tiquete impreso o digital (PDF/WhatsApp) con fecha, productos, total y método de pago. Requerido por Carmen Acosta y Patricia Molina (siempre lo piden); Pedro Jiménez (mamá lo pide).</t>
  </si>
  <si>
    <t xml:space="preserve">Encuesta E5: Carmen Acosta, Patricia Molina, Pedro Jiménez</t>
  </si>
  <si>
    <t xml:space="preserve">Historial consultable filtrado por fecha, empleado (Carlos/Martha/Julián/Diego) o producto. D01 no clasifica por empleado; imposible auditar errores de caja por actor.</t>
  </si>
  <si>
    <t xml:space="preserve">Carlos Ruiz (P6) · D01</t>
  </si>
  <si>
    <t xml:space="preserve">Registrar proveedores: Alimentos del Sur, Bebidas La Unión, Surtidor Pan de Horno. Asociar productos y precios de compra para comparar con facturas físicas (D03).</t>
  </si>
  <si>
    <t xml:space="preserve">Carlos Ruiz (P5) · D03</t>
  </si>
  <si>
    <t xml:space="preserve">Proveedores</t>
  </si>
  <si>
    <t xml:space="preserve">Operario sin experiencia (Carlos, Martha, Julián, Diego) completa una venta tras máx. 2h de inducción. Carlos declaró: 'Que sea sencillo, que yo pueda aprender en un día' (P10).</t>
  </si>
  <si>
    <t xml:space="preserve">Carlos Ruiz (P10): resistencia tecnológica moderada</t>
  </si>
  <si>
    <t xml:space="preserve">Usabilidad</t>
  </si>
  <si>
    <t xml:space="preserve">Opera sin internet; sincroniza al recuperar conexión. Carlos Ruiz: 'A veces se cae, pero en general funciona' (P11). Sin offline, el sistema queda inutilizable en caídas.</t>
  </si>
  <si>
    <t xml:space="preserve">Carlos Ruiz (P11)</t>
  </si>
  <si>
    <t xml:space="preserve">Disponibilidad</t>
  </si>
  <si>
    <t xml:space="preserve">Tiempo de respuesta ≤3 seg</t>
  </si>
  <si>
    <t xml:space="preserve">Registro de venta con hasta 15 productos en ≤3 seg. Línea base actual: 120 seg en paso 3. Con POS, meta: ≤3 seg total en ese paso.</t>
  </si>
  <si>
    <t xml:space="preserve">Ficha Observación Paso 3 (cuello de botella 44%)</t>
  </si>
  <si>
    <t xml:space="preserve">Rendimiento</t>
  </si>
  <si>
    <t xml:space="preserve">Rol Admin: Carlos Ruiz (acceso total). Rol Empleado: Martha Suárez, Julián Torres, Diego Morales (solo ventas e inventario de lectura). Evita que empleados vean totales del dueño.</t>
  </si>
  <si>
    <t xml:space="preserve">Carlos Ruiz (P9) · análisis de roles</t>
  </si>
  <si>
    <t xml:space="preserve">Seguridad</t>
  </si>
  <si>
    <t xml:space="preserve">Tablet Android ≥8.0 o PC Windows 10, mínimo 2 GB RAM. Restricción presupuestal de Carlos Ruiz (P12): solución de bajo costo para microempresa.</t>
  </si>
  <si>
    <t xml:space="preserve">Carlos Ruiz (P12)</t>
  </si>
  <si>
    <t xml:space="preserve">Portabilidad</t>
  </si>
  <si>
    <t xml:space="preserve">Carlos Ruiz agrega/edita/elimina productos sin ayuda técnica. Crítico: D04 tiene 8 precios desactualizados porque no hay mecanismo fácil de actualización.</t>
  </si>
  <si>
    <t xml:space="preserve">D04 · Carlos Ruiz (P2)</t>
  </si>
  <si>
    <t xml:space="preserve">Mantenibilidad</t>
  </si>
  <si>
    <t xml:space="preserve">Escalabilidad a 300 productos</t>
  </si>
  <si>
    <t xml:space="preserve">Arquitectura soporta segundo punto de venta o hasta 300 productos sin rediseño. Visión de crecimiento del negocio (Carlos Ruiz P12).</t>
  </si>
  <si>
    <t xml:space="preserve">Escalabilidad</t>
  </si>
  <si>
    <t xml:space="preserve">Backup local diario + nube (Google Drive) con conexión activa. D01–D06 son todos físicos sin respaldo: un incendio o robo perdería todo el historial del negocio.</t>
  </si>
  <si>
    <t xml:space="preserve">D01–D06 (riesgo pérdida total)</t>
  </si>
  <si>
    <t xml:space="preserve">Confiabilidad</t>
  </si>
  <si>
    <t xml:space="preserve">RESUMEN DE ESPECIFICACIÓN</t>
  </si>
  <si>
    <t xml:space="preserve">RF Must Have (críticos)</t>
  </si>
  <si>
    <t xml:space="preserve">RF Should Have</t>
  </si>
  <si>
    <t xml:space="preserve">RF Could Have</t>
  </si>
  <si>
    <t xml:space="preserve">RNF Must Have (críticos)</t>
  </si>
  <si>
    <t xml:space="preserve">RNF Should Have + Could Have</t>
  </si>
  <si>
    <t xml:space="preserve">TOTAL REQUISITOS IDENTIFICADOS</t>
  </si>
</sst>
</file>

<file path=xl/styles.xml><?xml version="1.0" encoding="utf-8"?>
<styleSheet xmlns="http://schemas.openxmlformats.org/spreadsheetml/2006/main">
  <numFmts count="6">
    <numFmt numFmtId="164" formatCode="General"/>
    <numFmt numFmtId="165" formatCode="General"/>
    <numFmt numFmtId="166" formatCode="0.0\%"/>
    <numFmt numFmtId="167" formatCode="0.0"/>
    <numFmt numFmtId="168" formatCode="0.0&quot; seg&quot;"/>
    <numFmt numFmtId="169" formatCode="\$#,##0"/>
  </numFmts>
  <fonts count="23">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color rgb="FFFFFFFF"/>
      <name val="Arial"/>
      <family val="0"/>
      <charset val="1"/>
    </font>
    <font>
      <b val="true"/>
      <sz val="11"/>
      <color rgb="FFFFFFFF"/>
      <name val="Arial"/>
      <family val="0"/>
      <charset val="1"/>
    </font>
    <font>
      <b val="true"/>
      <sz val="10"/>
      <color rgb="FF2D2D2D"/>
      <name val="Arial"/>
      <family val="0"/>
      <charset val="1"/>
    </font>
    <font>
      <sz val="10"/>
      <color rgb="FF2D2D2D"/>
      <name val="Arial"/>
      <family val="0"/>
      <charset val="1"/>
    </font>
    <font>
      <b val="true"/>
      <sz val="9"/>
      <color rgb="FFFF6B00"/>
      <name val="Arial"/>
      <family val="0"/>
      <charset val="1"/>
    </font>
    <font>
      <b val="true"/>
      <sz val="10"/>
      <color rgb="FF990000"/>
      <name val="Arial"/>
      <family val="0"/>
      <charset val="1"/>
    </font>
    <font>
      <b val="true"/>
      <sz val="10"/>
      <color rgb="FFFF6B00"/>
      <name val="Arial"/>
      <family val="0"/>
      <charset val="1"/>
    </font>
    <font>
      <b val="true"/>
      <sz val="10"/>
      <name val="Arial"/>
      <family val="0"/>
      <charset val="1"/>
    </font>
    <font>
      <b val="true"/>
      <sz val="11"/>
      <color rgb="FF003DA5"/>
      <name val="Arial"/>
      <family val="0"/>
      <charset val="1"/>
    </font>
    <font>
      <i val="true"/>
      <sz val="9"/>
      <color rgb="FF444444"/>
      <name val="Arial"/>
      <family val="0"/>
      <charset val="1"/>
    </font>
    <font>
      <b val="true"/>
      <sz val="11"/>
      <name val="Arial"/>
      <family val="0"/>
      <charset val="1"/>
    </font>
    <font>
      <b val="true"/>
      <sz val="12"/>
      <color rgb="FF003DA5"/>
      <name val="Arial"/>
      <family val="0"/>
      <charset val="1"/>
    </font>
    <font>
      <i val="true"/>
      <sz val="10"/>
      <color rgb="FF555555"/>
      <name val="Arial"/>
      <family val="0"/>
      <charset val="1"/>
    </font>
    <font>
      <i val="true"/>
      <sz val="9"/>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0"/>
      <color rgb="FF003DA5"/>
      <name val="Arial"/>
      <family val="0"/>
      <charset val="1"/>
    </font>
  </fonts>
  <fills count="14">
    <fill>
      <patternFill patternType="none"/>
    </fill>
    <fill>
      <patternFill patternType="gray125"/>
    </fill>
    <fill>
      <patternFill patternType="solid">
        <fgColor rgb="FF003DA5"/>
        <bgColor rgb="FF0066CC"/>
      </patternFill>
    </fill>
    <fill>
      <patternFill patternType="solid">
        <fgColor rgb="FF2D2D2D"/>
        <bgColor rgb="FF444444"/>
      </patternFill>
    </fill>
    <fill>
      <patternFill patternType="solid">
        <fgColor rgb="FF39A900"/>
        <bgColor rgb="FF008000"/>
      </patternFill>
    </fill>
    <fill>
      <patternFill patternType="solid">
        <fgColor rgb="FFFFFACC"/>
        <bgColor rgb="FFFFF0D5"/>
      </patternFill>
    </fill>
    <fill>
      <patternFill patternType="solid">
        <fgColor rgb="FFF2F2F2"/>
        <bgColor rgb="FFF9F9F9"/>
      </patternFill>
    </fill>
    <fill>
      <patternFill patternType="solid">
        <fgColor rgb="FFFFFFFF"/>
        <bgColor rgb="FFF9F9F9"/>
      </patternFill>
    </fill>
    <fill>
      <patternFill patternType="solid">
        <fgColor rgb="FFFFF0D5"/>
        <bgColor rgb="FFFFFACC"/>
      </patternFill>
    </fill>
    <fill>
      <patternFill patternType="solid">
        <fgColor rgb="FFFF6B00"/>
        <bgColor rgb="FFFF9900"/>
      </patternFill>
    </fill>
    <fill>
      <patternFill patternType="solid">
        <fgColor rgb="FFD5F0DD"/>
        <bgColor rgb="FFD5E8F0"/>
      </patternFill>
    </fill>
    <fill>
      <patternFill patternType="solid">
        <fgColor rgb="FFFFDDD5"/>
        <bgColor rgb="FFFFF0D5"/>
      </patternFill>
    </fill>
    <fill>
      <patternFill patternType="solid">
        <fgColor rgb="FFD9E1F2"/>
        <bgColor rgb="FFD5E8F0"/>
      </patternFill>
    </fill>
    <fill>
      <patternFill patternType="solid">
        <fgColor rgb="FFD5E8F0"/>
        <bgColor rgb="FFD9E1F2"/>
      </patternFill>
    </fill>
  </fills>
  <borders count="3">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 diagonalUp="false" diagonalDown="false">
      <left style="thin">
        <color rgb="FFBBBBBB"/>
      </left>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4" borderId="0" xfId="0" applyFont="true" applyBorder="true" applyAlignment="true" applyProtection="false">
      <alignment horizontal="left" vertical="center" textRotation="0" wrapText="fals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fals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9" fillId="8" borderId="0" xfId="0" applyFont="true" applyBorder="true" applyAlignment="true" applyProtection="false">
      <alignment horizontal="left" vertical="center"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9" borderId="0" xfId="0" applyFont="true" applyBorder="true" applyAlignment="true" applyProtection="false">
      <alignment horizontal="left" vertical="center" textRotation="0" wrapText="false" indent="0" shrinkToFit="false"/>
      <protection locked="true" hidden="false"/>
    </xf>
    <xf numFmtId="164" fontId="5" fillId="9"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false" indent="0" shrinkToFit="false"/>
      <protection locked="true" hidden="false"/>
    </xf>
    <xf numFmtId="164" fontId="8" fillId="6" borderId="2" xfId="0" applyFont="true" applyBorder="true" applyAlignment="true" applyProtection="false">
      <alignment horizontal="left"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false" indent="0" shrinkToFit="false"/>
      <protection locked="true" hidden="false"/>
    </xf>
    <xf numFmtId="164" fontId="8" fillId="7" borderId="2" xfId="0" applyFont="true" applyBorder="true" applyAlignment="true" applyProtection="false">
      <alignment horizontal="left" vertical="center" textRotation="0" wrapText="tru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7" fillId="10" borderId="1" xfId="0" applyFont="true" applyBorder="true" applyAlignment="true" applyProtection="false">
      <alignment horizontal="center" vertical="center" textRotation="0" wrapText="false" indent="0" shrinkToFit="false"/>
      <protection locked="true" hidden="false"/>
    </xf>
    <xf numFmtId="164" fontId="10" fillId="11" borderId="1" xfId="0" applyFont="true" applyBorder="true" applyAlignment="true" applyProtection="false">
      <alignment horizontal="center" vertical="center" textRotation="0" wrapText="false" indent="0" shrinkToFit="false"/>
      <protection locked="true" hidden="false"/>
    </xf>
    <xf numFmtId="164" fontId="8" fillId="7" borderId="1" xfId="0" applyFont="true" applyBorder="true" applyAlignment="true" applyProtection="false">
      <alignment horizontal="left" vertical="center" textRotation="0" wrapText="true" indent="0" shrinkToFit="false"/>
      <protection locked="true" hidden="false"/>
    </xf>
    <xf numFmtId="164" fontId="11" fillId="8" borderId="1" xfId="0" applyFont="true" applyBorder="true" applyAlignment="true" applyProtection="false">
      <alignment horizontal="center" vertical="center" textRotation="0" wrapText="false" indent="0" shrinkToFit="false"/>
      <protection locked="true" hidden="false"/>
    </xf>
    <xf numFmtId="164" fontId="12" fillId="12" borderId="2" xfId="0" applyFont="true" applyBorder="true" applyAlignment="true" applyProtection="false">
      <alignment horizontal="right" vertical="center" textRotation="0" wrapText="false" indent="0" shrinkToFit="false"/>
      <protection locked="true" hidden="false"/>
    </xf>
    <xf numFmtId="165" fontId="13" fillId="12" borderId="1" xfId="0" applyFont="true" applyBorder="true" applyAlignment="true" applyProtection="false">
      <alignment horizontal="center" vertical="center" textRotation="0" wrapText="false" indent="0" shrinkToFit="false"/>
      <protection locked="true" hidden="false"/>
    </xf>
    <xf numFmtId="164" fontId="14" fillId="10" borderId="0" xfId="0" applyFont="true" applyBorder="true" applyAlignment="true" applyProtection="false">
      <alignment horizontal="left" vertical="top" textRotation="0" wrapText="true" indent="0" shrinkToFit="false"/>
      <protection locked="true" hidden="false"/>
    </xf>
    <xf numFmtId="164" fontId="8" fillId="7" borderId="1" xfId="0" applyFont="true" applyBorder="true" applyAlignment="true" applyProtection="false">
      <alignment horizontal="left" vertical="center" textRotation="0" wrapText="false" indent="0" shrinkToFit="false"/>
      <protection locked="true" hidden="false"/>
    </xf>
    <xf numFmtId="164" fontId="7" fillId="11" borderId="1" xfId="0" applyFont="true" applyBorder="true" applyAlignment="true" applyProtection="false">
      <alignment horizontal="center" vertical="center" textRotation="0" wrapText="false" indent="0" shrinkToFit="false"/>
      <protection locked="true" hidden="false"/>
    </xf>
    <xf numFmtId="164" fontId="8" fillId="11" borderId="1" xfId="0" applyFont="true" applyBorder="true" applyAlignment="true" applyProtection="false">
      <alignment horizontal="left" vertical="center" textRotation="0" wrapText="false" indent="0" shrinkToFit="false"/>
      <protection locked="true" hidden="false"/>
    </xf>
    <xf numFmtId="164" fontId="8" fillId="11" borderId="1" xfId="0" applyFont="true" applyBorder="true" applyAlignment="true" applyProtection="false">
      <alignment horizontal="left" vertical="center" textRotation="0" wrapText="true" indent="0" shrinkToFit="false"/>
      <protection locked="true" hidden="false"/>
    </xf>
    <xf numFmtId="164" fontId="8" fillId="11"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left" vertical="center" textRotation="0" wrapText="fals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8" fillId="10" borderId="1" xfId="0" applyFont="true" applyBorder="true" applyAlignment="true" applyProtection="false">
      <alignment horizontal="left" vertical="center" textRotation="0" wrapText="false" indent="0" shrinkToFit="false"/>
      <protection locked="true" hidden="false"/>
    </xf>
    <xf numFmtId="164" fontId="8" fillId="10" borderId="1" xfId="0" applyFont="true" applyBorder="true" applyAlignment="true" applyProtection="false">
      <alignment horizontal="left" vertical="center" textRotation="0" wrapText="true" indent="0" shrinkToFit="false"/>
      <protection locked="true" hidden="false"/>
    </xf>
    <xf numFmtId="164" fontId="8" fillId="10" borderId="1" xfId="0" applyFont="true" applyBorder="true" applyAlignment="true" applyProtection="false">
      <alignment horizontal="center" vertical="center" textRotation="0" wrapText="false" indent="0" shrinkToFit="false"/>
      <protection locked="true" hidden="false"/>
    </xf>
    <xf numFmtId="164" fontId="15" fillId="12" borderId="2" xfId="0" applyFont="true" applyBorder="true" applyAlignment="true" applyProtection="false">
      <alignment horizontal="right" vertical="center" textRotation="0" wrapText="false" indent="0" shrinkToFit="false"/>
      <protection locked="true" hidden="false"/>
    </xf>
    <xf numFmtId="164" fontId="14" fillId="13" borderId="0" xfId="0" applyFont="true" applyBorder="true" applyAlignment="true" applyProtection="false">
      <alignment horizontal="left" vertical="top" textRotation="0" wrapText="true" indent="0" shrinkToFit="false"/>
      <protection locked="true" hidden="false"/>
    </xf>
    <xf numFmtId="166" fontId="7" fillId="5"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6" fontId="8" fillId="6" borderId="1" xfId="0" applyFont="true" applyBorder="true" applyAlignment="true" applyProtection="false">
      <alignment horizontal="center" vertical="center" textRotation="0" wrapText="false" indent="0" shrinkToFit="false"/>
      <protection locked="true" hidden="false"/>
    </xf>
    <xf numFmtId="166" fontId="8" fillId="7" borderId="1" xfId="0" applyFont="true" applyBorder="true" applyAlignment="true" applyProtection="false">
      <alignment horizontal="center" vertical="center" textRotation="0" wrapText="false" indent="0" shrinkToFit="false"/>
      <protection locked="true" hidden="false"/>
    </xf>
    <xf numFmtId="164" fontId="12" fillId="12" borderId="2" xfId="0" applyFont="true" applyBorder="true" applyAlignment="true" applyProtection="false">
      <alignment horizontal="center" vertical="center" textRotation="0" wrapText="false" indent="0" shrinkToFit="false"/>
      <protection locked="true" hidden="false"/>
    </xf>
    <xf numFmtId="165" fontId="16" fillId="12" borderId="1" xfId="0" applyFont="true" applyBorder="true" applyAlignment="true" applyProtection="false">
      <alignment horizontal="center" vertical="center" textRotation="0" wrapText="false" indent="0" shrinkToFit="false"/>
      <protection locked="true" hidden="false"/>
    </xf>
    <xf numFmtId="164" fontId="15" fillId="12" borderId="1" xfId="0" applyFont="true" applyBorder="true" applyAlignment="true" applyProtection="false">
      <alignment horizontal="center" vertical="center" textRotation="0" wrapText="false" indent="0" shrinkToFit="false"/>
      <protection locked="true" hidden="false"/>
    </xf>
    <xf numFmtId="167" fontId="8" fillId="6" borderId="1" xfId="0" applyFont="true" applyBorder="true" applyAlignment="true" applyProtection="false">
      <alignment horizontal="center" vertical="center" textRotation="0" wrapText="false" indent="0" shrinkToFit="false"/>
      <protection locked="true" hidden="false"/>
    </xf>
    <xf numFmtId="167" fontId="8" fillId="7" borderId="1" xfId="0" applyFont="true" applyBorder="true" applyAlignment="true" applyProtection="false">
      <alignment horizontal="center" vertical="center" textRotation="0" wrapText="false" indent="0" shrinkToFit="false"/>
      <protection locked="true" hidden="false"/>
    </xf>
    <xf numFmtId="164" fontId="15" fillId="12" borderId="2" xfId="0" applyFont="true" applyBorder="true" applyAlignment="true" applyProtection="false">
      <alignment horizontal="center" vertical="center" textRotation="0" wrapText="false" indent="0" shrinkToFit="false"/>
      <protection locked="true" hidden="false"/>
    </xf>
    <xf numFmtId="168" fontId="16" fillId="12"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4" fontId="17" fillId="6" borderId="1" xfId="0" applyFont="true" applyBorder="true" applyAlignment="true" applyProtection="false">
      <alignment horizontal="left" vertical="center" textRotation="0" wrapText="true" indent="0" shrinkToFit="false"/>
      <protection locked="true" hidden="false"/>
    </xf>
    <xf numFmtId="167" fontId="13" fillId="6" borderId="1" xfId="0" applyFont="true" applyBorder="true" applyAlignment="true" applyProtection="false">
      <alignment horizontal="center" vertical="center" textRotation="0" wrapText="false" indent="0" shrinkToFit="false"/>
      <protection locked="true" hidden="false"/>
    </xf>
    <xf numFmtId="164" fontId="7" fillId="7" borderId="1" xfId="0" applyFont="true" applyBorder="true" applyAlignment="true" applyProtection="false">
      <alignment horizontal="left" vertical="center" textRotation="0" wrapText="true" indent="0" shrinkToFit="false"/>
      <protection locked="true" hidden="false"/>
    </xf>
    <xf numFmtId="164" fontId="17" fillId="7" borderId="1" xfId="0" applyFont="true" applyBorder="true" applyAlignment="true" applyProtection="false">
      <alignment horizontal="left" vertical="center" textRotation="0" wrapText="true" indent="0" shrinkToFit="false"/>
      <protection locked="true" hidden="false"/>
    </xf>
    <xf numFmtId="167" fontId="13" fillId="7" borderId="1" xfId="0" applyFont="true" applyBorder="true" applyAlignment="true" applyProtection="false">
      <alignment horizontal="center" vertical="center" textRotation="0" wrapText="false" indent="0" shrinkToFit="false"/>
      <protection locked="true" hidden="false"/>
    </xf>
    <xf numFmtId="164" fontId="13" fillId="6" borderId="1" xfId="0" applyFont="true" applyBorder="true" applyAlignment="true" applyProtection="false">
      <alignment horizontal="center" vertical="center" textRotation="0" wrapText="false" indent="0" shrinkToFit="false"/>
      <protection locked="true" hidden="false"/>
    </xf>
    <xf numFmtId="164" fontId="13" fillId="7" borderId="1" xfId="0" applyFont="true" applyBorder="true" applyAlignment="true" applyProtection="false">
      <alignment horizontal="center" vertical="center" textRotation="0" wrapText="false" indent="0" shrinkToFit="false"/>
      <protection locked="true" hidden="false"/>
    </xf>
    <xf numFmtId="169" fontId="13" fillId="6" borderId="1" xfId="0" applyFont="true" applyBorder="true" applyAlignment="true" applyProtection="false">
      <alignment horizontal="center" vertical="center" textRotation="0" wrapText="false" indent="0" shrinkToFit="false"/>
      <protection locked="true" hidden="false"/>
    </xf>
    <xf numFmtId="164" fontId="5" fillId="4"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xf numFmtId="164" fontId="22" fillId="13" borderId="1" xfId="0" applyFont="true" applyBorder="true" applyAlignment="true" applyProtection="false">
      <alignment horizontal="center" vertical="center" textRotation="0" wrapText="false" indent="0" shrinkToFit="false"/>
      <protection locked="true" hidden="false"/>
    </xf>
    <xf numFmtId="165" fontId="13" fillId="11" borderId="1" xfId="0" applyFont="true" applyBorder="true" applyAlignment="true" applyProtection="false">
      <alignment horizontal="center" vertical="center" textRotation="0" wrapText="false" indent="0" shrinkToFit="false"/>
      <protection locked="true" hidden="false"/>
    </xf>
    <xf numFmtId="164" fontId="12" fillId="11" borderId="1" xfId="0" applyFont="true" applyBorder="true" applyAlignment="true" applyProtection="false">
      <alignment horizontal="center" vertical="center" textRotation="0" wrapText="false" indent="0" shrinkToFit="false"/>
      <protection locked="true" hidden="false"/>
    </xf>
    <xf numFmtId="165" fontId="13" fillId="8" borderId="1" xfId="0" applyFont="true" applyBorder="true" applyAlignment="true" applyProtection="false">
      <alignment horizontal="center" vertical="center" textRotation="0" wrapText="false" indent="0" shrinkToFit="false"/>
      <protection locked="true" hidden="false"/>
    </xf>
    <xf numFmtId="164" fontId="12" fillId="8" borderId="1" xfId="0" applyFont="true" applyBorder="true" applyAlignment="true" applyProtection="false">
      <alignment horizontal="center" vertical="center" textRotation="0" wrapText="false" indent="0" shrinkToFit="false"/>
      <protection locked="true" hidden="false"/>
    </xf>
    <xf numFmtId="165" fontId="13" fillId="5" borderId="1" xfId="0" applyFont="true" applyBorder="true" applyAlignment="true" applyProtection="false">
      <alignment horizontal="center" vertical="center" textRotation="0" wrapText="false" indent="0" shrinkToFit="false"/>
      <protection locked="true" hidden="false"/>
    </xf>
    <xf numFmtId="164" fontId="12" fillId="5"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22" fillId="13" borderId="1" xfId="0" applyFont="true" applyBorder="true" applyAlignment="true" applyProtection="false">
      <alignment horizontal="center" vertical="center" textRotation="0" wrapText="true" indent="0" shrinkToFit="false"/>
      <protection locked="true" hidden="false"/>
    </xf>
    <xf numFmtId="164" fontId="12" fillId="11"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12" fillId="8" borderId="1" xfId="0" applyFont="true" applyBorder="true" applyAlignment="true" applyProtection="false">
      <alignment horizontal="center" vertical="center" textRotation="0" wrapText="tru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11" fillId="8" borderId="1"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true" applyAlignment="true" applyProtection="false">
      <alignment horizontal="center" vertical="center" textRotation="0" wrapText="false" indent="0" shrinkToFit="false"/>
      <protection locked="true" hidden="false"/>
    </xf>
    <xf numFmtId="164" fontId="12" fillId="0" borderId="2" xfId="0" applyFont="true" applyBorder="true" applyAlignment="true" applyProtection="false">
      <alignment horizontal="right" vertical="center" textRotation="0" wrapText="false" indent="0" shrinkToFit="false"/>
      <protection locked="true" hidden="false"/>
    </xf>
    <xf numFmtId="165" fontId="16" fillId="1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90000"/>
      <rgbColor rgb="FF008000"/>
      <rgbColor rgb="FF000080"/>
      <rgbColor rgb="FF808000"/>
      <rgbColor rgb="FF800080"/>
      <rgbColor rgb="FF008080"/>
      <rgbColor rgb="FFBBBBBB"/>
      <rgbColor rgb="FF878787"/>
      <rgbColor rgb="FF9999FF"/>
      <rgbColor rgb="FFC0504D"/>
      <rgbColor rgb="FFFFFACC"/>
      <rgbColor rgb="FFD5E8F0"/>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D5F0DD"/>
      <rgbColor rgb="FFFFF0D5"/>
      <rgbColor rgb="FFD9E1F2"/>
      <rgbColor rgb="FFF9F9F9"/>
      <rgbColor rgb="FFCC99FF"/>
      <rgbColor rgb="FFFFDDD5"/>
      <rgbColor rgb="FF4F81BD"/>
      <rgbColor rgb="FF4BACC6"/>
      <rgbColor rgb="FF9BBB59"/>
      <rgbColor rgb="FFFFCC00"/>
      <rgbColor rgb="FFFF9900"/>
      <rgbColor rgb="FFFF6B00"/>
      <rgbColor rgb="FF8064A2"/>
      <rgbColor rgb="FF969696"/>
      <rgbColor rgb="FF003DA5"/>
      <rgbColor rgb="FF39A900"/>
      <rgbColor rgb="FF003300"/>
      <rgbColor rgb="FF444444"/>
      <rgbColor rgb="FF993300"/>
      <rgbColor rgb="FF993366"/>
      <rgbColor rgb="FF555555"/>
      <rgbColor rgb="FF2D2D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Funcionalidades más solicitadas (n=19 actores)</a:t>
            </a:r>
          </a:p>
        </c:rich>
      </c:tx>
      <c:overlay val="0"/>
      <c:spPr>
        <a:noFill/>
        <a:ln w="0">
          <a:noFill/>
        </a:ln>
      </c:spPr>
    </c:title>
    <c:autoTitleDeleted val="0"/>
    <c:plotArea>
      <c:barChart>
        <c:barDir val="col"/>
        <c:grouping val="clustered"/>
        <c:varyColors val="0"/>
        <c:ser>
          <c:idx val="0"/>
          <c:order val="0"/>
          <c:tx>
            <c:strRef>
              <c:f>'T3 - Graficas'!B3</c:f>
              <c:strCache>
                <c:ptCount val="1"/>
                <c:pt idx="0">
                  <c:v>Total menciones</c:v>
                </c:pt>
              </c:strCache>
            </c:strRef>
          </c:tx>
          <c:spPr>
            <a:solidFill>
              <a:srgbClr val="003da5"/>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'T3 - Graficas'!$A$4:$A$9</c:f>
              <c:strCache>
                <c:ptCount val="6"/>
                <c:pt idx="0">
                  <c:v>POS – Cobro rápido</c:v>
                </c:pt>
                <c:pt idx="1">
                  <c:v>Precios visibles</c:v>
                </c:pt>
                <c:pt idx="2">
                  <c:v>Control inventario</c:v>
                </c:pt>
                <c:pt idx="3">
                  <c:v>Pagos digitales</c:v>
                </c:pt>
                <c:pt idx="4">
                  <c:v>Tiquete/Factura</c:v>
                </c:pt>
                <c:pt idx="5">
                  <c:v>Gestión fiado</c:v>
                </c:pt>
              </c:strCache>
            </c:strRef>
          </c:cat>
          <c:val>
            <c:numRef>
              <c:f>'T3 - Graficas'!$B$4:$B$9</c:f>
              <c:numCache>
                <c:formatCode>General</c:formatCode>
                <c:ptCount val="6"/>
                <c:pt idx="0">
                  <c:v>9</c:v>
                </c:pt>
                <c:pt idx="1">
                  <c:v>5</c:v>
                </c:pt>
                <c:pt idx="2">
                  <c:v>2</c:v>
                </c:pt>
                <c:pt idx="3">
                  <c:v>4</c:v>
                </c:pt>
                <c:pt idx="4">
                  <c:v>2</c:v>
                </c:pt>
                <c:pt idx="5">
                  <c:v>1</c:v>
                </c:pt>
              </c:numCache>
            </c:numRef>
          </c:val>
        </c:ser>
        <c:gapWidth val="150"/>
        <c:overlap val="0"/>
        <c:axId val="28256516"/>
        <c:axId val="45319527"/>
      </c:barChart>
      <c:catAx>
        <c:axId val="2825651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Funcionalidad</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319527"/>
        <c:crosses val="autoZero"/>
        <c:auto val="1"/>
        <c:lblAlgn val="ctr"/>
        <c:lblOffset val="100"/>
        <c:noMultiLvlLbl val="0"/>
      </c:catAx>
      <c:valAx>
        <c:axId val="4531952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 menciones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25651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Tiempo promedio por paso del proceso de venta (seg)</a:t>
            </a:r>
          </a:p>
        </c:rich>
      </c:tx>
      <c:overlay val="0"/>
      <c:spPr>
        <a:noFill/>
        <a:ln w="0">
          <a:noFill/>
        </a:ln>
      </c:spPr>
    </c:title>
    <c:autoTitleDeleted val="0"/>
    <c:plotArea>
      <c:barChart>
        <c:barDir val="bar"/>
        <c:grouping val="clustered"/>
        <c:varyColors val="0"/>
        <c:ser>
          <c:idx val="0"/>
          <c:order val="0"/>
          <c:tx>
            <c:strRef>
              <c:f>'T3 - Graficas'!B13</c:f>
              <c:strCache>
                <c:ptCount val="1"/>
                <c:pt idx="0">
                  <c:v>T. Promedio (seg)</c:v>
                </c:pt>
              </c:strCache>
            </c:strRef>
          </c:tx>
          <c:spPr>
            <a:solidFill>
              <a:srgbClr val="ff6b00"/>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'T3 - Graficas'!$A$14:$A$19</c:f>
              <c:strCache>
                <c:ptCount val="6"/>
                <c:pt idx="0">
                  <c:v>Traer productos</c:v>
                </c:pt>
                <c:pt idx="1">
                  <c:v>Identificar precio</c:v>
                </c:pt>
                <c:pt idx="2">
                  <c:v>Sumar (calculadora)</c:v>
                </c:pt>
                <c:pt idx="3">
                  <c:v>Anotar en cuaderno</c:v>
                </c:pt>
                <c:pt idx="4">
                  <c:v>Cambio</c:v>
                </c:pt>
                <c:pt idx="5">
                  <c:v>Archivar tiquete</c:v>
                </c:pt>
              </c:strCache>
            </c:strRef>
          </c:cat>
          <c:val>
            <c:numRef>
              <c:f>'T3 - Graficas'!$B$14:$B$19</c:f>
              <c:numCache>
                <c:formatCode>General</c:formatCode>
                <c:ptCount val="6"/>
                <c:pt idx="0">
                  <c:v>30</c:v>
                </c:pt>
                <c:pt idx="1">
                  <c:v>82.5</c:v>
                </c:pt>
                <c:pt idx="2">
                  <c:v>120</c:v>
                </c:pt>
                <c:pt idx="3">
                  <c:v>75</c:v>
                </c:pt>
                <c:pt idx="4">
                  <c:v>50</c:v>
                </c:pt>
                <c:pt idx="5">
                  <c:v>25</c:v>
                </c:pt>
              </c:numCache>
            </c:numRef>
          </c:val>
        </c:ser>
        <c:gapWidth val="150"/>
        <c:overlap val="0"/>
        <c:axId val="21469081"/>
        <c:axId val="61577595"/>
      </c:barChart>
      <c:catAx>
        <c:axId val="2146908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577595"/>
        <c:crosses val="autoZero"/>
        <c:auto val="1"/>
        <c:lblAlgn val="ctr"/>
        <c:lblOffset val="100"/>
        <c:noMultiLvlLbl val="0"/>
      </c:catAx>
      <c:valAx>
        <c:axId val="61577595"/>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Segundos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46908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Satisfacción velocidad atención E2 (n=4)</a:t>
            </a:r>
          </a:p>
        </c:rich>
      </c:tx>
      <c:overlay val="0"/>
      <c:spPr>
        <a:noFill/>
        <a:ln w="0">
          <a:noFill/>
        </a:ln>
      </c:spPr>
    </c:title>
    <c:autoTitleDeleted val="0"/>
    <c:plotArea>
      <c:pieChart>
        <c:varyColors val="1"/>
        <c:ser>
          <c:idx val="0"/>
          <c:order val="0"/>
          <c:tx>
            <c:strRef>
              <c:f>'T3 - Graficas'!B22</c:f>
              <c:strCache>
                <c:ptCount val="1"/>
                <c:pt idx="0">
                  <c:v>Frecuencia</c:v>
                </c:pt>
              </c:strCache>
            </c:strRef>
          </c:tx>
          <c:spPr>
            <a:solidFill>
              <a:srgbClr val="4f81bd"/>
            </a:solidFill>
            <a:ln w="9360">
              <a:solidFill>
                <a:srgbClr val="f9f9f9"/>
              </a:solidFill>
              <a:round/>
            </a:ln>
          </c:spPr>
          <c:explosion val="0"/>
          <c:dPt>
            <c:idx val="0"/>
            <c:spPr>
              <a:solidFill>
                <a:srgbClr val="4f81bd"/>
              </a:solidFill>
              <a:ln w="9360">
                <a:solidFill>
                  <a:srgbClr val="f9f9f9"/>
                </a:solidFill>
                <a:round/>
              </a:ln>
            </c:spPr>
          </c:dPt>
          <c:dPt>
            <c:idx val="1"/>
            <c:spPr>
              <a:solidFill>
                <a:srgbClr val="c0504d"/>
              </a:solidFill>
              <a:ln w="9360">
                <a:solidFill>
                  <a:srgbClr val="f9f9f9"/>
                </a:solidFill>
                <a:round/>
              </a:ln>
            </c:spPr>
          </c:dPt>
          <c:dPt>
            <c:idx val="2"/>
            <c:spPr>
              <a:solidFill>
                <a:srgbClr val="9bbb59"/>
              </a:solidFill>
              <a:ln w="9360">
                <a:solidFill>
                  <a:srgbClr val="f9f9f9"/>
                </a:solidFill>
                <a:round/>
              </a:ln>
            </c:spPr>
          </c:dPt>
          <c:dPt>
            <c:idx val="3"/>
            <c:spPr>
              <a:solidFill>
                <a:srgbClr val="8064a2"/>
              </a:solidFill>
              <a:ln w="9360">
                <a:solidFill>
                  <a:srgbClr val="f9f9f9"/>
                </a:solidFill>
                <a:round/>
              </a:ln>
            </c:spPr>
          </c:dPt>
          <c:dPt>
            <c:idx val="4"/>
            <c:spPr>
              <a:solidFill>
                <a:srgbClr val="4bacc6"/>
              </a:solidFill>
              <a:ln w="9360">
                <a:solidFill>
                  <a:srgbClr val="f9f9f9"/>
                </a:solidFill>
                <a:round/>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dLbl>
              <c:idx val="2"/>
              <c:txPr>
                <a:bodyPr wrap="none"/>
                <a:lstStyle/>
                <a:p>
                  <a:pPr>
                    <a:defRPr b="0" sz="1000" spc="-1" strike="noStrike">
                      <a:latin typeface="Arial"/>
                    </a:defRPr>
                  </a:pPr>
                </a:p>
              </c:txPr>
              <c:showLegendKey val="0"/>
              <c:showVal val="0"/>
              <c:showCatName val="0"/>
              <c:showSerName val="0"/>
              <c:showPercent val="0"/>
              <c:separator> </c:separator>
            </c:dLbl>
            <c:dLbl>
              <c:idx val="3"/>
              <c:txPr>
                <a:bodyPr wrap="none"/>
                <a:lstStyle/>
                <a:p>
                  <a:pPr>
                    <a:defRPr b="0" sz="1000" spc="-1" strike="noStrike">
                      <a:latin typeface="Arial"/>
                    </a:defRPr>
                  </a:pPr>
                </a:p>
              </c:txPr>
              <c:showLegendKey val="0"/>
              <c:showVal val="0"/>
              <c:showCatName val="0"/>
              <c:showSerName val="0"/>
              <c:showPercent val="0"/>
              <c:separator> </c:separator>
            </c:dLbl>
            <c:dLbl>
              <c:idx val="4"/>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dLbls>
          <c:cat>
            <c:strRef>
              <c:f>'T3 - Graficas'!$A$23:$A$27</c:f>
              <c:strCache>
                <c:ptCount val="5"/>
                <c:pt idx="0">
                  <c:v>Calif. 1</c:v>
                </c:pt>
                <c:pt idx="1">
                  <c:v>Calif. 2</c:v>
                </c:pt>
                <c:pt idx="2">
                  <c:v>Calif. 3</c:v>
                </c:pt>
                <c:pt idx="3">
                  <c:v>Calif. 4</c:v>
                </c:pt>
                <c:pt idx="4">
                  <c:v>Calif. 5</c:v>
                </c:pt>
              </c:strCache>
            </c:strRef>
          </c:cat>
          <c:val>
            <c:numRef>
              <c:f>'T3 - Graficas'!$B$23:$B$27</c:f>
              <c:numCache>
                <c:formatCode>General</c:formatCode>
                <c:ptCount val="5"/>
                <c:pt idx="0">
                  <c:v>0</c:v>
                </c:pt>
                <c:pt idx="1">
                  <c:v>1</c:v>
                </c:pt>
                <c:pt idx="2">
                  <c:v>1</c:v>
                </c:pt>
                <c:pt idx="3">
                  <c:v>2</c:v>
                </c:pt>
                <c:pt idx="4">
                  <c:v>0</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2</xdr:row>
      <xdr:rowOff>0</xdr:rowOff>
    </xdr:from>
    <xdr:to>
      <xdr:col>15</xdr:col>
      <xdr:colOff>581400</xdr:colOff>
      <xdr:row>28</xdr:row>
      <xdr:rowOff>86760</xdr:rowOff>
    </xdr:to>
    <xdr:graphicFrame>
      <xdr:nvGraphicFramePr>
        <xdr:cNvPr id="0" name="Chart 1"/>
        <xdr:cNvGraphicFramePr/>
      </xdr:nvGraphicFramePr>
      <xdr:xfrm>
        <a:off x="3853800" y="619200"/>
        <a:ext cx="7919640" cy="50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19</xdr:row>
      <xdr:rowOff>0</xdr:rowOff>
    </xdr:from>
    <xdr:to>
      <xdr:col>15</xdr:col>
      <xdr:colOff>581400</xdr:colOff>
      <xdr:row>41</xdr:row>
      <xdr:rowOff>163080</xdr:rowOff>
    </xdr:to>
    <xdr:graphicFrame>
      <xdr:nvGraphicFramePr>
        <xdr:cNvPr id="1" name="Chart 2"/>
        <xdr:cNvGraphicFramePr/>
      </xdr:nvGraphicFramePr>
      <xdr:xfrm>
        <a:off x="3853800" y="3857760"/>
        <a:ext cx="7919640" cy="50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0</xdr:colOff>
      <xdr:row>36</xdr:row>
      <xdr:rowOff>0</xdr:rowOff>
    </xdr:from>
    <xdr:to>
      <xdr:col>11</xdr:col>
      <xdr:colOff>147600</xdr:colOff>
      <xdr:row>54</xdr:row>
      <xdr:rowOff>170640</xdr:rowOff>
    </xdr:to>
    <xdr:graphicFrame>
      <xdr:nvGraphicFramePr>
        <xdr:cNvPr id="2" name="Chart 3"/>
        <xdr:cNvGraphicFramePr/>
      </xdr:nvGraphicFramePr>
      <xdr:xfrm>
        <a:off x="3853800" y="7781760"/>
        <a:ext cx="5039640" cy="35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6"/>
    <col collapsed="false" customWidth="true" hidden="false" outlineLevel="0" max="3" min="3" style="0" width="24"/>
    <col collapsed="false" customWidth="true" hidden="false" outlineLevel="0" max="4" min="4" style="0" width="28"/>
    <col collapsed="false" customWidth="true" hidden="false" outlineLevel="0" max="6" min="5" style="0" width="14"/>
    <col collapsed="false" customWidth="true" hidden="false" outlineLevel="0" max="7" min="7" style="0" width="26"/>
  </cols>
  <sheetData>
    <row r="1" customFormat="false" ht="33.75" hidden="false" customHeight="true" outlineLevel="0" collapsed="false">
      <c r="A1" s="1" t="s">
        <v>0</v>
      </c>
      <c r="B1" s="1"/>
      <c r="C1" s="1"/>
      <c r="D1" s="1"/>
      <c r="E1" s="1"/>
      <c r="F1" s="1"/>
      <c r="G1" s="1"/>
    </row>
    <row r="2" customFormat="false" ht="21.75" hidden="false" customHeight="true" outlineLevel="0" collapsed="false">
      <c r="A2" s="2" t="s">
        <v>1</v>
      </c>
      <c r="B2" s="2"/>
      <c r="C2" s="2"/>
      <c r="D2" s="2"/>
      <c r="E2" s="2"/>
      <c r="F2" s="2"/>
      <c r="G2" s="2"/>
    </row>
    <row r="4" customFormat="false" ht="24" hidden="false" customHeight="true" outlineLevel="0" collapsed="false">
      <c r="A4" s="3" t="s">
        <v>2</v>
      </c>
      <c r="B4" s="3"/>
      <c r="C4" s="3"/>
      <c r="D4" s="3"/>
      <c r="E4" s="3"/>
      <c r="F4" s="3"/>
      <c r="G4" s="3"/>
    </row>
    <row r="5" customFormat="false" ht="27.75" hidden="false" customHeight="true" outlineLevel="0" collapsed="false">
      <c r="A5" s="4" t="s">
        <v>3</v>
      </c>
      <c r="B5" s="4" t="s">
        <v>4</v>
      </c>
      <c r="C5" s="4" t="s">
        <v>5</v>
      </c>
      <c r="D5" s="4" t="s">
        <v>6</v>
      </c>
      <c r="E5" s="4" t="s">
        <v>7</v>
      </c>
      <c r="F5" s="4" t="s">
        <v>8</v>
      </c>
      <c r="G5" s="4" t="s">
        <v>9</v>
      </c>
    </row>
    <row r="6" customFormat="false" ht="37.5" hidden="false" customHeight="true" outlineLevel="0" collapsed="false">
      <c r="A6" s="5" t="s">
        <v>10</v>
      </c>
      <c r="B6" s="6" t="s">
        <v>11</v>
      </c>
      <c r="C6" s="7" t="s">
        <v>12</v>
      </c>
      <c r="D6" s="7" t="s">
        <v>13</v>
      </c>
      <c r="E6" s="6" t="n">
        <v>40</v>
      </c>
      <c r="F6" s="6" t="s">
        <v>14</v>
      </c>
      <c r="G6" s="7" t="s">
        <v>15</v>
      </c>
    </row>
    <row r="7" customFormat="false" ht="37.5" hidden="false" customHeight="true" outlineLevel="0" collapsed="false">
      <c r="A7" s="8" t="s">
        <v>16</v>
      </c>
      <c r="B7" s="8" t="s">
        <v>17</v>
      </c>
      <c r="C7" s="9" t="s">
        <v>18</v>
      </c>
      <c r="D7" s="9" t="s">
        <v>19</v>
      </c>
      <c r="E7" s="8" t="n">
        <v>7</v>
      </c>
      <c r="F7" s="8" t="s">
        <v>20</v>
      </c>
      <c r="G7" s="9" t="s">
        <v>21</v>
      </c>
    </row>
    <row r="8" customFormat="false" ht="37.5" hidden="false" customHeight="true" outlineLevel="0" collapsed="false">
      <c r="A8" s="10" t="s">
        <v>22</v>
      </c>
      <c r="B8" s="10" t="s">
        <v>23</v>
      </c>
      <c r="C8" s="11" t="s">
        <v>24</v>
      </c>
      <c r="D8" s="11" t="s">
        <v>25</v>
      </c>
      <c r="E8" s="10" t="n">
        <v>6</v>
      </c>
      <c r="F8" s="10" t="s">
        <v>26</v>
      </c>
      <c r="G8" s="11" t="s">
        <v>27</v>
      </c>
    </row>
    <row r="9" customFormat="false" ht="37.5" hidden="false" customHeight="true" outlineLevel="0" collapsed="false">
      <c r="A9" s="8" t="s">
        <v>28</v>
      </c>
      <c r="B9" s="8" t="s">
        <v>29</v>
      </c>
      <c r="C9" s="9" t="s">
        <v>30</v>
      </c>
      <c r="D9" s="9" t="s">
        <v>31</v>
      </c>
      <c r="E9" s="8" t="n">
        <v>4</v>
      </c>
      <c r="F9" s="8" t="s">
        <v>20</v>
      </c>
      <c r="G9" s="9" t="s">
        <v>32</v>
      </c>
    </row>
    <row r="10" customFormat="false" ht="19.5" hidden="false" customHeight="true" outlineLevel="0" collapsed="false">
      <c r="A10" s="12" t="s">
        <v>33</v>
      </c>
      <c r="B10" s="12"/>
      <c r="C10" s="12"/>
      <c r="D10" s="12"/>
      <c r="E10" s="12"/>
      <c r="F10" s="12"/>
      <c r="G10" s="12"/>
    </row>
    <row r="12" customFormat="false" ht="24" hidden="false" customHeight="true" outlineLevel="0" collapsed="false">
      <c r="A12" s="13" t="s">
        <v>34</v>
      </c>
      <c r="B12" s="13"/>
      <c r="C12" s="13"/>
      <c r="D12" s="13"/>
      <c r="E12" s="13"/>
      <c r="F12" s="13"/>
      <c r="G12" s="13"/>
    </row>
    <row r="13" customFormat="false" ht="27.75" hidden="false" customHeight="true" outlineLevel="0" collapsed="false">
      <c r="A13" s="14" t="s">
        <v>35</v>
      </c>
      <c r="B13" s="14" t="s">
        <v>36</v>
      </c>
      <c r="C13" s="14" t="s">
        <v>37</v>
      </c>
      <c r="D13" s="14" t="s">
        <v>38</v>
      </c>
      <c r="E13" s="14" t="s">
        <v>39</v>
      </c>
      <c r="F13" s="14" t="s">
        <v>40</v>
      </c>
      <c r="G13" s="14" t="s">
        <v>41</v>
      </c>
    </row>
    <row r="14" customFormat="false" ht="31.5" hidden="false" customHeight="true" outlineLevel="0" collapsed="false">
      <c r="A14" s="8" t="s">
        <v>42</v>
      </c>
      <c r="B14" s="8" t="s">
        <v>43</v>
      </c>
      <c r="C14" s="9" t="s">
        <v>44</v>
      </c>
      <c r="D14" s="8" t="s">
        <v>45</v>
      </c>
      <c r="E14" s="8" t="s">
        <v>46</v>
      </c>
      <c r="F14" s="8" t="s">
        <v>47</v>
      </c>
      <c r="G14" s="9" t="s">
        <v>48</v>
      </c>
    </row>
    <row r="15" customFormat="false" ht="31.5" hidden="false" customHeight="true" outlineLevel="0" collapsed="false">
      <c r="A15" s="10" t="s">
        <v>49</v>
      </c>
      <c r="B15" s="10" t="s">
        <v>50</v>
      </c>
      <c r="C15" s="11" t="s">
        <v>51</v>
      </c>
      <c r="D15" s="10" t="s">
        <v>46</v>
      </c>
      <c r="E15" s="10" t="s">
        <v>52</v>
      </c>
      <c r="F15" s="10" t="s">
        <v>46</v>
      </c>
      <c r="G15" s="11" t="s">
        <v>53</v>
      </c>
    </row>
    <row r="16" customFormat="false" ht="31.5" hidden="false" customHeight="true" outlineLevel="0" collapsed="false">
      <c r="A16" s="8" t="s">
        <v>54</v>
      </c>
      <c r="B16" s="8" t="s">
        <v>55</v>
      </c>
      <c r="C16" s="9" t="s">
        <v>56</v>
      </c>
      <c r="D16" s="8" t="s">
        <v>46</v>
      </c>
      <c r="E16" s="8" t="s">
        <v>46</v>
      </c>
      <c r="F16" s="8" t="s">
        <v>46</v>
      </c>
      <c r="G16" s="9" t="s">
        <v>57</v>
      </c>
    </row>
    <row r="17" customFormat="false" ht="31.5" hidden="false" customHeight="true" outlineLevel="0" collapsed="false">
      <c r="A17" s="10" t="s">
        <v>58</v>
      </c>
      <c r="B17" s="10" t="s">
        <v>59</v>
      </c>
      <c r="C17" s="11" t="s">
        <v>60</v>
      </c>
      <c r="D17" s="10" t="s">
        <v>61</v>
      </c>
      <c r="E17" s="10" t="s">
        <v>46</v>
      </c>
      <c r="F17" s="10" t="s">
        <v>62</v>
      </c>
      <c r="G17" s="11" t="s">
        <v>46</v>
      </c>
    </row>
    <row r="18" customFormat="false" ht="31.5" hidden="false" customHeight="true" outlineLevel="0" collapsed="false">
      <c r="A18" s="8" t="s">
        <v>63</v>
      </c>
      <c r="B18" s="8" t="s">
        <v>64</v>
      </c>
      <c r="C18" s="9" t="s">
        <v>65</v>
      </c>
      <c r="D18" s="8" t="s">
        <v>46</v>
      </c>
      <c r="E18" s="8" t="s">
        <v>46</v>
      </c>
      <c r="F18" s="8" t="s">
        <v>46</v>
      </c>
      <c r="G18" s="9" t="s">
        <v>66</v>
      </c>
    </row>
    <row r="19" customFormat="false" ht="31.5" hidden="false" customHeight="true" outlineLevel="0" collapsed="false">
      <c r="A19" s="10" t="s">
        <v>67</v>
      </c>
      <c r="B19" s="10" t="s">
        <v>50</v>
      </c>
      <c r="C19" s="11" t="s">
        <v>68</v>
      </c>
      <c r="D19" s="10" t="s">
        <v>46</v>
      </c>
      <c r="E19" s="10" t="s">
        <v>52</v>
      </c>
      <c r="F19" s="10" t="s">
        <v>46</v>
      </c>
      <c r="G19" s="11" t="s">
        <v>53</v>
      </c>
    </row>
    <row r="20" customFormat="false" ht="31.5" hidden="false" customHeight="true" outlineLevel="0" collapsed="false">
      <c r="A20" s="8" t="s">
        <v>69</v>
      </c>
      <c r="B20" s="8" t="s">
        <v>70</v>
      </c>
      <c r="C20" s="9" t="s">
        <v>71</v>
      </c>
      <c r="D20" s="8" t="s">
        <v>46</v>
      </c>
      <c r="E20" s="8" t="s">
        <v>46</v>
      </c>
      <c r="F20" s="8" t="s">
        <v>46</v>
      </c>
      <c r="G20" s="9" t="s">
        <v>57</v>
      </c>
    </row>
    <row r="21" customFormat="false" ht="31.5" hidden="false" customHeight="true" outlineLevel="0" collapsed="false">
      <c r="A21" s="10" t="s">
        <v>72</v>
      </c>
      <c r="B21" s="10" t="s">
        <v>43</v>
      </c>
      <c r="C21" s="11" t="s">
        <v>73</v>
      </c>
      <c r="D21" s="10" t="s">
        <v>74</v>
      </c>
      <c r="E21" s="10" t="s">
        <v>46</v>
      </c>
      <c r="F21" s="10" t="s">
        <v>46</v>
      </c>
      <c r="G21" s="11" t="s">
        <v>48</v>
      </c>
    </row>
    <row r="22" customFormat="false" ht="31.5" hidden="false" customHeight="true" outlineLevel="0" collapsed="false">
      <c r="A22" s="8" t="s">
        <v>75</v>
      </c>
      <c r="B22" s="8" t="s">
        <v>64</v>
      </c>
      <c r="C22" s="9" t="s">
        <v>76</v>
      </c>
      <c r="D22" s="8" t="s">
        <v>46</v>
      </c>
      <c r="E22" s="8" t="s">
        <v>77</v>
      </c>
      <c r="F22" s="8" t="s">
        <v>46</v>
      </c>
      <c r="G22" s="9" t="s">
        <v>53</v>
      </c>
    </row>
    <row r="23" customFormat="false" ht="31.5" hidden="false" customHeight="true" outlineLevel="0" collapsed="false">
      <c r="A23" s="10" t="s">
        <v>78</v>
      </c>
      <c r="B23" s="10" t="s">
        <v>59</v>
      </c>
      <c r="C23" s="11" t="s">
        <v>79</v>
      </c>
      <c r="D23" s="10" t="s">
        <v>46</v>
      </c>
      <c r="E23" s="10" t="s">
        <v>46</v>
      </c>
      <c r="F23" s="10" t="s">
        <v>80</v>
      </c>
      <c r="G23" s="11" t="s">
        <v>81</v>
      </c>
    </row>
    <row r="24" customFormat="false" ht="31.5" hidden="false" customHeight="true" outlineLevel="0" collapsed="false">
      <c r="A24" s="8" t="s">
        <v>82</v>
      </c>
      <c r="B24" s="8" t="s">
        <v>55</v>
      </c>
      <c r="C24" s="9" t="s">
        <v>83</v>
      </c>
      <c r="D24" s="8" t="s">
        <v>46</v>
      </c>
      <c r="E24" s="8" t="s">
        <v>46</v>
      </c>
      <c r="F24" s="8" t="s">
        <v>46</v>
      </c>
      <c r="G24" s="9" t="s">
        <v>57</v>
      </c>
    </row>
    <row r="25" customFormat="false" ht="31.5" hidden="false" customHeight="true" outlineLevel="0" collapsed="false">
      <c r="A25" s="10" t="s">
        <v>84</v>
      </c>
      <c r="B25" s="10" t="s">
        <v>43</v>
      </c>
      <c r="C25" s="11" t="s">
        <v>85</v>
      </c>
      <c r="D25" s="10" t="s">
        <v>61</v>
      </c>
      <c r="E25" s="10" t="s">
        <v>46</v>
      </c>
      <c r="F25" s="10" t="s">
        <v>46</v>
      </c>
      <c r="G25" s="11" t="s">
        <v>86</v>
      </c>
    </row>
    <row r="26" customFormat="false" ht="31.5" hidden="false" customHeight="true" outlineLevel="0" collapsed="false">
      <c r="A26" s="8" t="s">
        <v>87</v>
      </c>
      <c r="B26" s="8" t="s">
        <v>50</v>
      </c>
      <c r="C26" s="9" t="s">
        <v>88</v>
      </c>
      <c r="D26" s="8" t="s">
        <v>46</v>
      </c>
      <c r="E26" s="8" t="s">
        <v>77</v>
      </c>
      <c r="F26" s="8" t="s">
        <v>46</v>
      </c>
      <c r="G26" s="9" t="s">
        <v>53</v>
      </c>
    </row>
    <row r="27" customFormat="false" ht="31.5" hidden="false" customHeight="true" outlineLevel="0" collapsed="false">
      <c r="A27" s="10" t="s">
        <v>89</v>
      </c>
      <c r="B27" s="10" t="s">
        <v>59</v>
      </c>
      <c r="C27" s="11" t="s">
        <v>90</v>
      </c>
      <c r="D27" s="10" t="s">
        <v>46</v>
      </c>
      <c r="E27" s="10" t="s">
        <v>46</v>
      </c>
      <c r="F27" s="10" t="s">
        <v>80</v>
      </c>
      <c r="G27" s="11" t="s">
        <v>81</v>
      </c>
    </row>
    <row r="28" customFormat="false" ht="31.5" hidden="false" customHeight="true" outlineLevel="0" collapsed="false">
      <c r="A28" s="8" t="s">
        <v>91</v>
      </c>
      <c r="B28" s="8" t="s">
        <v>64</v>
      </c>
      <c r="C28" s="9" t="s">
        <v>92</v>
      </c>
      <c r="D28" s="8" t="s">
        <v>46</v>
      </c>
      <c r="E28" s="8" t="s">
        <v>46</v>
      </c>
      <c r="F28" s="8" t="s">
        <v>46</v>
      </c>
      <c r="G28" s="9" t="s">
        <v>57</v>
      </c>
    </row>
    <row r="30" customFormat="false" ht="24" hidden="false" customHeight="true" outlineLevel="0" collapsed="false">
      <c r="A30" s="15" t="s">
        <v>93</v>
      </c>
      <c r="B30" s="15"/>
      <c r="C30" s="15"/>
      <c r="D30" s="15"/>
      <c r="E30" s="15"/>
      <c r="F30" s="15"/>
      <c r="G30" s="15"/>
    </row>
    <row r="31" customFormat="false" ht="27.75" hidden="false" customHeight="true" outlineLevel="0" collapsed="false">
      <c r="A31" s="16" t="s">
        <v>94</v>
      </c>
      <c r="B31" s="16" t="s">
        <v>95</v>
      </c>
      <c r="C31" s="16" t="s">
        <v>96</v>
      </c>
      <c r="D31" s="16" t="s">
        <v>97</v>
      </c>
      <c r="E31" s="16"/>
      <c r="F31" s="16"/>
      <c r="G31" s="16"/>
    </row>
    <row r="32" customFormat="false" ht="25.5" hidden="false" customHeight="true" outlineLevel="0" collapsed="false">
      <c r="A32" s="17" t="s">
        <v>98</v>
      </c>
      <c r="B32" s="8" t="s">
        <v>99</v>
      </c>
      <c r="C32" s="8" t="s">
        <v>100</v>
      </c>
      <c r="D32" s="18" t="s">
        <v>101</v>
      </c>
      <c r="E32" s="18"/>
      <c r="F32" s="18"/>
      <c r="G32" s="18"/>
    </row>
    <row r="33" customFormat="false" ht="25.5" hidden="false" customHeight="true" outlineLevel="0" collapsed="false">
      <c r="A33" s="19" t="s">
        <v>102</v>
      </c>
      <c r="B33" s="10" t="s">
        <v>103</v>
      </c>
      <c r="C33" s="10" t="s">
        <v>100</v>
      </c>
      <c r="D33" s="20" t="s">
        <v>104</v>
      </c>
      <c r="E33" s="20"/>
      <c r="F33" s="20"/>
      <c r="G33" s="20"/>
    </row>
    <row r="34" customFormat="false" ht="25.5" hidden="false" customHeight="true" outlineLevel="0" collapsed="false">
      <c r="A34" s="17" t="s">
        <v>105</v>
      </c>
      <c r="B34" s="8" t="s">
        <v>106</v>
      </c>
      <c r="C34" s="8" t="s">
        <v>107</v>
      </c>
      <c r="D34" s="18" t="s">
        <v>108</v>
      </c>
      <c r="E34" s="18"/>
      <c r="F34" s="18"/>
      <c r="G34" s="18"/>
    </row>
    <row r="35" customFormat="false" ht="25.5" hidden="false" customHeight="true" outlineLevel="0" collapsed="false">
      <c r="A35" s="19" t="s">
        <v>109</v>
      </c>
      <c r="B35" s="10" t="s">
        <v>110</v>
      </c>
      <c r="C35" s="10" t="s">
        <v>111</v>
      </c>
      <c r="D35" s="20" t="s">
        <v>112</v>
      </c>
      <c r="E35" s="20"/>
      <c r="F35" s="20"/>
      <c r="G35" s="20"/>
    </row>
    <row r="36" customFormat="false" ht="25.5" hidden="false" customHeight="true" outlineLevel="0" collapsed="false">
      <c r="A36" s="17" t="s">
        <v>113</v>
      </c>
      <c r="B36" s="8" t="s">
        <v>114</v>
      </c>
      <c r="C36" s="8" t="s">
        <v>115</v>
      </c>
      <c r="D36" s="18" t="s">
        <v>116</v>
      </c>
      <c r="E36" s="18"/>
      <c r="F36" s="18"/>
      <c r="G36" s="18"/>
    </row>
    <row r="37" customFormat="false" ht="25.5" hidden="false" customHeight="true" outlineLevel="0" collapsed="false">
      <c r="A37" s="19" t="s">
        <v>117</v>
      </c>
      <c r="B37" s="10" t="s">
        <v>118</v>
      </c>
      <c r="C37" s="10" t="s">
        <v>119</v>
      </c>
      <c r="D37" s="20" t="s">
        <v>120</v>
      </c>
      <c r="E37" s="20"/>
      <c r="F37" s="20"/>
      <c r="G37" s="20"/>
    </row>
  </sheetData>
  <mergeCells count="13">
    <mergeCell ref="A1:G1"/>
    <mergeCell ref="A2:G2"/>
    <mergeCell ref="A4:G4"/>
    <mergeCell ref="A10:G10"/>
    <mergeCell ref="A12:G12"/>
    <mergeCell ref="A30:G30"/>
    <mergeCell ref="D31:G31"/>
    <mergeCell ref="D32:G32"/>
    <mergeCell ref="D33:G33"/>
    <mergeCell ref="D34:G34"/>
    <mergeCell ref="D35:G35"/>
    <mergeCell ref="D36:G36"/>
    <mergeCell ref="D37:G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30"/>
    <col collapsed="false" customWidth="true" hidden="false" outlineLevel="0" max="4" min="4" style="0" width="12"/>
    <col collapsed="false" customWidth="true" hidden="false" outlineLevel="0" max="5" min="5" style="0" width="10"/>
    <col collapsed="false" customWidth="true" hidden="false" outlineLevel="0" max="6" min="6" style="0" width="12"/>
    <col collapsed="false" customWidth="true" hidden="false" outlineLevel="0" max="7" min="7" style="0" width="16"/>
  </cols>
  <sheetData>
    <row r="1" customFormat="false" ht="33.75" hidden="false" customHeight="true" outlineLevel="0" collapsed="false">
      <c r="A1" s="1" t="s">
        <v>121</v>
      </c>
      <c r="B1" s="1"/>
      <c r="C1" s="1"/>
      <c r="D1" s="1"/>
      <c r="E1" s="1"/>
      <c r="F1" s="1"/>
      <c r="G1" s="1"/>
    </row>
    <row r="2" customFormat="false" ht="21.75" hidden="false" customHeight="true" outlineLevel="0" collapsed="false">
      <c r="A2" s="2" t="s">
        <v>122</v>
      </c>
      <c r="B2" s="2"/>
      <c r="C2" s="2"/>
      <c r="D2" s="2"/>
      <c r="E2" s="2"/>
      <c r="F2" s="2"/>
      <c r="G2" s="2"/>
    </row>
    <row r="4" customFormat="false" ht="24" hidden="false" customHeight="true" outlineLevel="0" collapsed="false">
      <c r="A4" s="3" t="s">
        <v>123</v>
      </c>
      <c r="B4" s="3"/>
      <c r="C4" s="3"/>
      <c r="D4" s="3"/>
      <c r="E4" s="3"/>
      <c r="F4" s="3"/>
      <c r="G4" s="3"/>
    </row>
    <row r="5" customFormat="false" ht="27.75" hidden="false" customHeight="true" outlineLevel="0" collapsed="false">
      <c r="A5" s="4" t="s">
        <v>124</v>
      </c>
      <c r="B5" s="4" t="s">
        <v>125</v>
      </c>
      <c r="C5" s="4" t="s">
        <v>126</v>
      </c>
      <c r="D5" s="4" t="s">
        <v>127</v>
      </c>
      <c r="E5" s="4" t="s">
        <v>128</v>
      </c>
      <c r="F5" s="4" t="s">
        <v>129</v>
      </c>
      <c r="G5" s="4" t="s">
        <v>130</v>
      </c>
    </row>
    <row r="6" customFormat="false" ht="25.5" hidden="false" customHeight="true" outlineLevel="0" collapsed="false">
      <c r="A6" s="21" t="s">
        <v>131</v>
      </c>
      <c r="B6" s="8" t="n">
        <v>4</v>
      </c>
      <c r="C6" s="8" t="n">
        <v>5</v>
      </c>
      <c r="D6" s="22" t="n">
        <v>9</v>
      </c>
      <c r="E6" s="8" t="s">
        <v>132</v>
      </c>
      <c r="F6" s="8" t="s">
        <v>132</v>
      </c>
      <c r="G6" s="23" t="s">
        <v>133</v>
      </c>
    </row>
    <row r="7" customFormat="false" ht="25.5" hidden="false" customHeight="true" outlineLevel="0" collapsed="false">
      <c r="A7" s="24" t="s">
        <v>134</v>
      </c>
      <c r="B7" s="10" t="n">
        <v>1</v>
      </c>
      <c r="C7" s="10" t="n">
        <v>4</v>
      </c>
      <c r="D7" s="22" t="n">
        <v>5</v>
      </c>
      <c r="E7" s="10" t="s">
        <v>135</v>
      </c>
      <c r="F7" s="10" t="s">
        <v>136</v>
      </c>
      <c r="G7" s="23" t="s">
        <v>133</v>
      </c>
    </row>
    <row r="8" customFormat="false" ht="25.5" hidden="false" customHeight="true" outlineLevel="0" collapsed="false">
      <c r="A8" s="21" t="s">
        <v>137</v>
      </c>
      <c r="B8" s="8" t="n">
        <v>2</v>
      </c>
      <c r="C8" s="8" t="n">
        <v>0</v>
      </c>
      <c r="D8" s="17" t="n">
        <v>2</v>
      </c>
      <c r="E8" s="8" t="s">
        <v>138</v>
      </c>
      <c r="F8" s="8" t="s">
        <v>139</v>
      </c>
      <c r="G8" s="23" t="s">
        <v>133</v>
      </c>
    </row>
    <row r="9" customFormat="false" ht="25.5" hidden="false" customHeight="true" outlineLevel="0" collapsed="false">
      <c r="A9" s="24" t="s">
        <v>140</v>
      </c>
      <c r="B9" s="10" t="n">
        <v>0</v>
      </c>
      <c r="C9" s="10" t="n">
        <v>4</v>
      </c>
      <c r="D9" s="22" t="n">
        <v>4</v>
      </c>
      <c r="E9" s="10" t="s">
        <v>141</v>
      </c>
      <c r="F9" s="10" t="s">
        <v>142</v>
      </c>
      <c r="G9" s="25" t="s">
        <v>143</v>
      </c>
    </row>
    <row r="10" customFormat="false" ht="25.5" hidden="false" customHeight="true" outlineLevel="0" collapsed="false">
      <c r="A10" s="21" t="s">
        <v>144</v>
      </c>
      <c r="B10" s="8" t="n">
        <v>0</v>
      </c>
      <c r="C10" s="8" t="n">
        <v>2</v>
      </c>
      <c r="D10" s="17" t="n">
        <v>2</v>
      </c>
      <c r="E10" s="8" t="s">
        <v>138</v>
      </c>
      <c r="F10" s="8" t="s">
        <v>145</v>
      </c>
      <c r="G10" s="25" t="s">
        <v>143</v>
      </c>
    </row>
    <row r="11" customFormat="false" ht="25.5" hidden="false" customHeight="true" outlineLevel="0" collapsed="false">
      <c r="A11" s="24" t="s">
        <v>146</v>
      </c>
      <c r="B11" s="10" t="n">
        <v>1</v>
      </c>
      <c r="C11" s="10" t="n">
        <v>0</v>
      </c>
      <c r="D11" s="19" t="n">
        <v>1</v>
      </c>
      <c r="E11" s="10" t="s">
        <v>147</v>
      </c>
      <c r="F11" s="10" t="s">
        <v>148</v>
      </c>
      <c r="G11" s="25" t="s">
        <v>143</v>
      </c>
    </row>
    <row r="12" customFormat="false" ht="24" hidden="false" customHeight="true" outlineLevel="0" collapsed="false">
      <c r="A12" s="26" t="s">
        <v>149</v>
      </c>
      <c r="B12" s="26"/>
      <c r="C12" s="26"/>
      <c r="D12" s="27" t="n">
        <f aca="false">SUM(D6:D11)</f>
        <v>23</v>
      </c>
      <c r="E12" s="27" t="s">
        <v>150</v>
      </c>
      <c r="F12" s="27" t="s">
        <v>150</v>
      </c>
    </row>
    <row r="14" customFormat="false" ht="51.75" hidden="false" customHeight="true" outlineLevel="0" collapsed="false">
      <c r="A14" s="28" t="s">
        <v>151</v>
      </c>
      <c r="B14" s="28"/>
      <c r="C14" s="28"/>
      <c r="D14" s="28"/>
      <c r="E14" s="28"/>
      <c r="F14" s="28"/>
      <c r="G14" s="28"/>
    </row>
    <row r="16" customFormat="false" ht="24" hidden="false" customHeight="true" outlineLevel="0" collapsed="false">
      <c r="A16" s="13" t="s">
        <v>152</v>
      </c>
      <c r="B16" s="13"/>
      <c r="C16" s="13"/>
      <c r="D16" s="13"/>
      <c r="E16" s="13"/>
      <c r="F16" s="13"/>
      <c r="G16" s="13"/>
    </row>
    <row r="17" customFormat="false" ht="27.75" hidden="false" customHeight="true" outlineLevel="0" collapsed="false">
      <c r="A17" s="14" t="s">
        <v>153</v>
      </c>
      <c r="B17" s="14" t="s">
        <v>154</v>
      </c>
      <c r="C17" s="14" t="s">
        <v>155</v>
      </c>
      <c r="D17" s="14" t="s">
        <v>156</v>
      </c>
      <c r="E17" s="14" t="s">
        <v>157</v>
      </c>
      <c r="F17" s="14" t="s">
        <v>158</v>
      </c>
      <c r="G17" s="14"/>
    </row>
    <row r="18" customFormat="false" ht="21.75" hidden="false" customHeight="true" outlineLevel="0" collapsed="false">
      <c r="A18" s="19" t="n">
        <v>1</v>
      </c>
      <c r="B18" s="29" t="s">
        <v>159</v>
      </c>
      <c r="C18" s="24" t="s">
        <v>46</v>
      </c>
      <c r="D18" s="10" t="n">
        <v>0</v>
      </c>
      <c r="E18" s="10" t="s">
        <v>160</v>
      </c>
      <c r="F18" s="10" t="s">
        <v>160</v>
      </c>
    </row>
    <row r="19" customFormat="false" ht="21.75" hidden="false" customHeight="true" outlineLevel="0" collapsed="false">
      <c r="A19" s="30" t="n">
        <v>2</v>
      </c>
      <c r="B19" s="31" t="s">
        <v>161</v>
      </c>
      <c r="C19" s="32" t="s">
        <v>42</v>
      </c>
      <c r="D19" s="30" t="n">
        <v>1</v>
      </c>
      <c r="E19" s="33" t="s">
        <v>162</v>
      </c>
      <c r="F19" s="33" t="s">
        <v>162</v>
      </c>
    </row>
    <row r="20" customFormat="false" ht="21.75" hidden="false" customHeight="true" outlineLevel="0" collapsed="false">
      <c r="A20" s="5" t="n">
        <v>3</v>
      </c>
      <c r="B20" s="34" t="s">
        <v>163</v>
      </c>
      <c r="C20" s="35" t="s">
        <v>72</v>
      </c>
      <c r="D20" s="5" t="n">
        <v>1</v>
      </c>
      <c r="E20" s="6" t="s">
        <v>162</v>
      </c>
      <c r="F20" s="6" t="s">
        <v>164</v>
      </c>
    </row>
    <row r="21" customFormat="false" ht="21.75" hidden="false" customHeight="true" outlineLevel="0" collapsed="false">
      <c r="A21" s="22" t="n">
        <v>4</v>
      </c>
      <c r="B21" s="36" t="s">
        <v>165</v>
      </c>
      <c r="C21" s="37" t="s">
        <v>166</v>
      </c>
      <c r="D21" s="22" t="n">
        <v>2</v>
      </c>
      <c r="E21" s="38" t="s">
        <v>164</v>
      </c>
      <c r="F21" s="38" t="s">
        <v>167</v>
      </c>
    </row>
    <row r="22" customFormat="false" ht="21.75" hidden="false" customHeight="true" outlineLevel="0" collapsed="false">
      <c r="A22" s="19" t="n">
        <v>5</v>
      </c>
      <c r="B22" s="29" t="s">
        <v>168</v>
      </c>
      <c r="C22" s="24" t="s">
        <v>46</v>
      </c>
      <c r="D22" s="10" t="n">
        <v>0</v>
      </c>
      <c r="E22" s="10" t="s">
        <v>160</v>
      </c>
      <c r="F22" s="10" t="s">
        <v>167</v>
      </c>
    </row>
    <row r="23" customFormat="false" ht="21.75" hidden="false" customHeight="true" outlineLevel="0" collapsed="false">
      <c r="A23" s="39" t="s">
        <v>169</v>
      </c>
      <c r="B23" s="39"/>
      <c r="C23" s="39"/>
      <c r="D23" s="27" t="n">
        <v>4</v>
      </c>
    </row>
    <row r="25" customFormat="false" ht="43.5" hidden="false" customHeight="true" outlineLevel="0" collapsed="false">
      <c r="A25" s="40" t="s">
        <v>170</v>
      </c>
      <c r="B25" s="40"/>
      <c r="C25" s="40"/>
      <c r="D25" s="40"/>
      <c r="E25" s="40"/>
      <c r="F25" s="40"/>
      <c r="G25" s="40"/>
    </row>
  </sheetData>
  <mergeCells count="8">
    <mergeCell ref="A1:G1"/>
    <mergeCell ref="A2:G2"/>
    <mergeCell ref="A4:G4"/>
    <mergeCell ref="A12:C12"/>
    <mergeCell ref="A14:G14"/>
    <mergeCell ref="A16:G16"/>
    <mergeCell ref="A23:C23"/>
    <mergeCell ref="A25:G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30"/>
    <col collapsed="false" customWidth="true" hidden="false" outlineLevel="0" max="3" min="3" style="0" width="14"/>
    <col collapsed="false" customWidth="true" hidden="false" outlineLevel="0" max="4" min="4" style="0" width="40"/>
    <col collapsed="false" customWidth="true" hidden="false" outlineLevel="0" max="6" min="5" style="0" width="5"/>
  </cols>
  <sheetData>
    <row r="1" customFormat="false" ht="33.75" hidden="false" customHeight="true" outlineLevel="0" collapsed="false">
      <c r="A1" s="1" t="s">
        <v>171</v>
      </c>
      <c r="B1" s="1"/>
      <c r="C1" s="1"/>
      <c r="D1" s="1"/>
      <c r="E1" s="1"/>
      <c r="F1" s="1"/>
    </row>
    <row r="2" customFormat="false" ht="21.75" hidden="false" customHeight="true" outlineLevel="0" collapsed="false">
      <c r="A2" s="2" t="s">
        <v>172</v>
      </c>
      <c r="B2" s="2"/>
      <c r="C2" s="2"/>
      <c r="D2" s="2"/>
      <c r="E2" s="2"/>
      <c r="F2" s="2"/>
    </row>
    <row r="4" customFormat="false" ht="24" hidden="false" customHeight="true" outlineLevel="0" collapsed="false">
      <c r="A4" s="3" t="s">
        <v>173</v>
      </c>
      <c r="B4" s="3"/>
      <c r="C4" s="3"/>
      <c r="D4" s="3"/>
      <c r="E4" s="3"/>
      <c r="F4" s="3"/>
    </row>
    <row r="5" customFormat="false" ht="27.75" hidden="false" customHeight="true" outlineLevel="0" collapsed="false">
      <c r="A5" s="4" t="s">
        <v>3</v>
      </c>
      <c r="B5" s="4" t="s">
        <v>4</v>
      </c>
      <c r="C5" s="4" t="s">
        <v>174</v>
      </c>
      <c r="D5" s="4" t="s">
        <v>175</v>
      </c>
      <c r="E5" s="4" t="s">
        <v>176</v>
      </c>
      <c r="F5" s="4" t="s">
        <v>177</v>
      </c>
    </row>
    <row r="6" customFormat="false" ht="36" hidden="false" customHeight="true" outlineLevel="0" collapsed="false">
      <c r="A6" s="5" t="s">
        <v>10</v>
      </c>
      <c r="B6" s="5" t="s">
        <v>11</v>
      </c>
      <c r="C6" s="5" t="s">
        <v>178</v>
      </c>
      <c r="D6" s="5" t="n">
        <v>40</v>
      </c>
      <c r="E6" s="41" t="n">
        <f aca="false">D6/D$10*100</f>
        <v>70.1754385964912</v>
      </c>
      <c r="F6" s="42" t="s">
        <v>179</v>
      </c>
    </row>
    <row r="7" customFormat="false" ht="36" hidden="false" customHeight="true" outlineLevel="0" collapsed="false">
      <c r="A7" s="8" t="s">
        <v>16</v>
      </c>
      <c r="B7" s="8" t="s">
        <v>17</v>
      </c>
      <c r="C7" s="8" t="s">
        <v>180</v>
      </c>
      <c r="D7" s="8" t="n">
        <v>7</v>
      </c>
      <c r="E7" s="43" t="n">
        <f aca="false">D7/D$10*100</f>
        <v>12.280701754386</v>
      </c>
      <c r="F7" s="9" t="s">
        <v>181</v>
      </c>
    </row>
    <row r="8" customFormat="false" ht="36" hidden="false" customHeight="true" outlineLevel="0" collapsed="false">
      <c r="A8" s="10" t="s">
        <v>22</v>
      </c>
      <c r="B8" s="10" t="s">
        <v>23</v>
      </c>
      <c r="C8" s="10" t="s">
        <v>182</v>
      </c>
      <c r="D8" s="10" t="n">
        <v>6</v>
      </c>
      <c r="E8" s="44" t="n">
        <f aca="false">D8/D$10*100</f>
        <v>10.5263157894737</v>
      </c>
      <c r="F8" s="11" t="s">
        <v>183</v>
      </c>
    </row>
    <row r="9" customFormat="false" ht="36" hidden="false" customHeight="true" outlineLevel="0" collapsed="false">
      <c r="A9" s="8" t="s">
        <v>28</v>
      </c>
      <c r="B9" s="8" t="s">
        <v>29</v>
      </c>
      <c r="C9" s="8" t="s">
        <v>184</v>
      </c>
      <c r="D9" s="8" t="n">
        <v>4</v>
      </c>
      <c r="E9" s="43" t="n">
        <f aca="false">D9/D$10*100</f>
        <v>7.01754385964912</v>
      </c>
      <c r="F9" s="9" t="s">
        <v>185</v>
      </c>
    </row>
    <row r="10" customFormat="false" ht="24" hidden="false" customHeight="true" outlineLevel="0" collapsed="false">
      <c r="A10" s="45" t="s">
        <v>186</v>
      </c>
      <c r="B10" s="45"/>
      <c r="C10" s="45"/>
      <c r="D10" s="46" t="n">
        <f aca="false">SUM(D6:D9)</f>
        <v>57</v>
      </c>
      <c r="E10" s="47" t="s">
        <v>150</v>
      </c>
    </row>
    <row r="12" customFormat="false" ht="43.5" hidden="false" customHeight="true" outlineLevel="0" collapsed="false">
      <c r="A12" s="28" t="s">
        <v>187</v>
      </c>
      <c r="B12" s="28"/>
      <c r="C12" s="28"/>
      <c r="D12" s="28"/>
      <c r="E12" s="28"/>
      <c r="F12" s="28"/>
    </row>
    <row r="14" customFormat="false" ht="24" hidden="false" customHeight="true" outlineLevel="0" collapsed="false">
      <c r="A14" s="13" t="s">
        <v>188</v>
      </c>
      <c r="B14" s="13"/>
      <c r="C14" s="13"/>
      <c r="D14" s="13"/>
      <c r="E14" s="13"/>
      <c r="F14" s="13"/>
    </row>
    <row r="15" customFormat="false" ht="27.75" hidden="false" customHeight="true" outlineLevel="0" collapsed="false">
      <c r="A15" s="14" t="s">
        <v>189</v>
      </c>
      <c r="B15" s="14" t="s">
        <v>190</v>
      </c>
      <c r="C15" s="14" t="s">
        <v>191</v>
      </c>
      <c r="D15" s="14" t="s">
        <v>192</v>
      </c>
      <c r="E15" s="14" t="s">
        <v>193</v>
      </c>
      <c r="F15" s="14" t="s">
        <v>194</v>
      </c>
    </row>
    <row r="16" customFormat="false" ht="27.75" hidden="false" customHeight="true" outlineLevel="0" collapsed="false">
      <c r="A16" s="9" t="s">
        <v>195</v>
      </c>
      <c r="B16" s="8" t="n">
        <v>30</v>
      </c>
      <c r="C16" s="8" t="n">
        <v>30</v>
      </c>
      <c r="D16" s="48" t="n">
        <f aca="false">(B16+C16)/2</f>
        <v>30</v>
      </c>
      <c r="E16" s="48" t="n">
        <f aca="false">D16/D$22*100</f>
        <v>7.84313725490196</v>
      </c>
      <c r="F16" s="22" t="s">
        <v>196</v>
      </c>
    </row>
    <row r="17" customFormat="false" ht="27.75" hidden="false" customHeight="true" outlineLevel="0" collapsed="false">
      <c r="A17" s="11" t="s">
        <v>197</v>
      </c>
      <c r="B17" s="10" t="n">
        <v>60</v>
      </c>
      <c r="C17" s="10" t="n">
        <v>105</v>
      </c>
      <c r="D17" s="49" t="n">
        <f aca="false">(B17+C17)/2</f>
        <v>82.5</v>
      </c>
      <c r="E17" s="49" t="n">
        <f aca="false">D17/D$22*100</f>
        <v>21.5686274509804</v>
      </c>
      <c r="F17" s="30" t="s">
        <v>198</v>
      </c>
    </row>
    <row r="18" customFormat="false" ht="27.75" hidden="false" customHeight="true" outlineLevel="0" collapsed="false">
      <c r="A18" s="9" t="s">
        <v>199</v>
      </c>
      <c r="B18" s="8" t="n">
        <v>90</v>
      </c>
      <c r="C18" s="8" t="n">
        <v>150</v>
      </c>
      <c r="D18" s="48" t="n">
        <f aca="false">(B18+C18)/2</f>
        <v>120</v>
      </c>
      <c r="E18" s="48" t="n">
        <f aca="false">D18/D$22*100</f>
        <v>31.3725490196078</v>
      </c>
      <c r="F18" s="30" t="s">
        <v>200</v>
      </c>
    </row>
    <row r="19" customFormat="false" ht="27.75" hidden="false" customHeight="true" outlineLevel="0" collapsed="false">
      <c r="A19" s="11" t="s">
        <v>201</v>
      </c>
      <c r="B19" s="10" t="n">
        <v>60</v>
      </c>
      <c r="C19" s="10" t="n">
        <v>90</v>
      </c>
      <c r="D19" s="49" t="n">
        <f aca="false">(B19+C19)/2</f>
        <v>75</v>
      </c>
      <c r="E19" s="49" t="n">
        <f aca="false">D19/D$22*100</f>
        <v>19.6078431372549</v>
      </c>
      <c r="F19" s="5" t="s">
        <v>202</v>
      </c>
    </row>
    <row r="20" customFormat="false" ht="27.75" hidden="false" customHeight="true" outlineLevel="0" collapsed="false">
      <c r="A20" s="9" t="s">
        <v>203</v>
      </c>
      <c r="B20" s="8" t="n">
        <v>40</v>
      </c>
      <c r="C20" s="8" t="n">
        <v>60</v>
      </c>
      <c r="D20" s="48" t="n">
        <f aca="false">(B20+C20)/2</f>
        <v>50</v>
      </c>
      <c r="E20" s="48" t="n">
        <f aca="false">D20/D$22*100</f>
        <v>13.0718954248366</v>
      </c>
      <c r="F20" s="5" t="s">
        <v>202</v>
      </c>
    </row>
    <row r="21" customFormat="false" ht="27.75" hidden="false" customHeight="true" outlineLevel="0" collapsed="false">
      <c r="A21" s="11" t="s">
        <v>204</v>
      </c>
      <c r="B21" s="10" t="n">
        <v>20</v>
      </c>
      <c r="C21" s="10" t="n">
        <v>30</v>
      </c>
      <c r="D21" s="49" t="n">
        <f aca="false">(B21+C21)/2</f>
        <v>25</v>
      </c>
      <c r="E21" s="49" t="n">
        <f aca="false">D21/D$22*100</f>
        <v>6.5359477124183</v>
      </c>
      <c r="F21" s="22" t="s">
        <v>196</v>
      </c>
    </row>
    <row r="22" customFormat="false" ht="24" hidden="false" customHeight="true" outlineLevel="0" collapsed="false">
      <c r="A22" s="50" t="s">
        <v>205</v>
      </c>
      <c r="B22" s="50"/>
      <c r="C22" s="50"/>
      <c r="D22" s="51" t="n">
        <f aca="false">SUM(D16:D21)</f>
        <v>382.5</v>
      </c>
    </row>
    <row r="24" customFormat="false" ht="24" hidden="false" customHeight="true" outlineLevel="0" collapsed="false">
      <c r="A24" s="15" t="s">
        <v>206</v>
      </c>
      <c r="B24" s="15"/>
      <c r="C24" s="15"/>
      <c r="D24" s="15"/>
      <c r="E24" s="15"/>
      <c r="F24" s="15"/>
    </row>
    <row r="25" customFormat="false" ht="27.75" hidden="false" customHeight="true" outlineLevel="0" collapsed="false">
      <c r="A25" s="16" t="s">
        <v>207</v>
      </c>
      <c r="B25" s="16" t="s">
        <v>208</v>
      </c>
      <c r="C25" s="16" t="s">
        <v>209</v>
      </c>
      <c r="D25" s="16" t="s">
        <v>210</v>
      </c>
      <c r="E25" s="16"/>
      <c r="F25" s="16"/>
    </row>
    <row r="26" customFormat="false" ht="36" hidden="false" customHeight="true" outlineLevel="0" collapsed="false">
      <c r="A26" s="52" t="s">
        <v>211</v>
      </c>
      <c r="B26" s="53" t="s">
        <v>212</v>
      </c>
      <c r="C26" s="54" t="n">
        <f aca="false">AVERAGE(35,50)</f>
        <v>42.5</v>
      </c>
      <c r="D26" s="18" t="s">
        <v>213</v>
      </c>
      <c r="E26" s="18"/>
      <c r="F26" s="18"/>
    </row>
    <row r="27" customFormat="false" ht="36" hidden="false" customHeight="true" outlineLevel="0" collapsed="false">
      <c r="A27" s="55" t="s">
        <v>214</v>
      </c>
      <c r="B27" s="56" t="s">
        <v>215</v>
      </c>
      <c r="C27" s="57" t="n">
        <f aca="false">AVERAGE(35,50)*1.25</f>
        <v>53.125</v>
      </c>
      <c r="D27" s="20" t="s">
        <v>216</v>
      </c>
      <c r="E27" s="20"/>
      <c r="F27" s="20"/>
    </row>
    <row r="28" customFormat="false" ht="36" hidden="false" customHeight="true" outlineLevel="0" collapsed="false">
      <c r="A28" s="52" t="s">
        <v>217</v>
      </c>
      <c r="B28" s="53" t="s">
        <v>218</v>
      </c>
      <c r="C28" s="54" t="n">
        <f aca="false">SUM(D16:D21)</f>
        <v>382.5</v>
      </c>
      <c r="D28" s="18" t="s">
        <v>219</v>
      </c>
      <c r="E28" s="18"/>
      <c r="F28" s="18"/>
    </row>
    <row r="29" customFormat="false" ht="36" hidden="false" customHeight="true" outlineLevel="0" collapsed="false">
      <c r="A29" s="55" t="s">
        <v>220</v>
      </c>
      <c r="B29" s="56" t="s">
        <v>221</v>
      </c>
      <c r="C29" s="57" t="n">
        <f aca="false">D18/D22*100</f>
        <v>31.3725490196078</v>
      </c>
      <c r="D29" s="20" t="s">
        <v>222</v>
      </c>
      <c r="E29" s="20"/>
      <c r="F29" s="20"/>
    </row>
    <row r="30" customFormat="false" ht="36" hidden="false" customHeight="true" outlineLevel="0" collapsed="false">
      <c r="A30" s="52" t="s">
        <v>223</v>
      </c>
      <c r="B30" s="53" t="s">
        <v>224</v>
      </c>
      <c r="C30" s="58" t="n">
        <v>9</v>
      </c>
      <c r="D30" s="18" t="s">
        <v>225</v>
      </c>
      <c r="E30" s="18"/>
      <c r="F30" s="18"/>
    </row>
    <row r="31" customFormat="false" ht="36" hidden="false" customHeight="true" outlineLevel="0" collapsed="false">
      <c r="A31" s="55" t="s">
        <v>226</v>
      </c>
      <c r="B31" s="56" t="s">
        <v>227</v>
      </c>
      <c r="C31" s="59" t="n">
        <v>4</v>
      </c>
      <c r="D31" s="20" t="s">
        <v>228</v>
      </c>
      <c r="E31" s="20"/>
      <c r="F31" s="20"/>
    </row>
    <row r="32" customFormat="false" ht="36" hidden="false" customHeight="true" outlineLevel="0" collapsed="false">
      <c r="A32" s="52" t="s">
        <v>229</v>
      </c>
      <c r="B32" s="53" t="s">
        <v>230</v>
      </c>
      <c r="C32" s="60" t="n">
        <v>336000</v>
      </c>
      <c r="D32" s="18" t="s">
        <v>231</v>
      </c>
      <c r="E32" s="18"/>
      <c r="F32" s="18"/>
    </row>
    <row r="33" customFormat="false" ht="36" hidden="false" customHeight="true" outlineLevel="0" collapsed="false">
      <c r="A33" s="55" t="s">
        <v>232</v>
      </c>
      <c r="B33" s="56" t="s">
        <v>233</v>
      </c>
      <c r="C33" s="59" t="n">
        <v>8</v>
      </c>
      <c r="D33" s="20" t="s">
        <v>234</v>
      </c>
      <c r="E33" s="20"/>
      <c r="F33" s="20"/>
    </row>
    <row r="34" customFormat="false" ht="36" hidden="false" customHeight="true" outlineLevel="0" collapsed="false">
      <c r="A34" s="52" t="s">
        <v>235</v>
      </c>
      <c r="B34" s="53" t="s">
        <v>236</v>
      </c>
      <c r="C34" s="54" t="n">
        <f aca="false">(2+3+4+4)/4</f>
        <v>3.25</v>
      </c>
      <c r="D34" s="18" t="s">
        <v>237</v>
      </c>
      <c r="E34" s="18"/>
      <c r="F34" s="18"/>
    </row>
  </sheetData>
  <mergeCells count="18">
    <mergeCell ref="A1:F1"/>
    <mergeCell ref="A2:F2"/>
    <mergeCell ref="A4:F4"/>
    <mergeCell ref="A10:C10"/>
    <mergeCell ref="A12:F12"/>
    <mergeCell ref="A14:F14"/>
    <mergeCell ref="A22:C22"/>
    <mergeCell ref="A24:F24"/>
    <mergeCell ref="D25:F25"/>
    <mergeCell ref="D26:F26"/>
    <mergeCell ref="D27:F27"/>
    <mergeCell ref="D28:F28"/>
    <mergeCell ref="D29:F29"/>
    <mergeCell ref="D30:F30"/>
    <mergeCell ref="D31:F31"/>
    <mergeCell ref="D32:F32"/>
    <mergeCell ref="D33:F33"/>
    <mergeCell ref="D34:F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0"/>
  </cols>
  <sheetData>
    <row r="1" customFormat="false" ht="33.75" hidden="false" customHeight="true" outlineLevel="0" collapsed="false">
      <c r="A1" s="1" t="s">
        <v>238</v>
      </c>
      <c r="B1" s="1"/>
      <c r="C1" s="1"/>
      <c r="D1" s="1"/>
      <c r="E1" s="1"/>
      <c r="F1" s="1"/>
      <c r="G1" s="1"/>
      <c r="H1" s="1"/>
    </row>
    <row r="3" customFormat="false" ht="15" hidden="false" customHeight="false" outlineLevel="0" collapsed="false">
      <c r="A3" s="61" t="s">
        <v>239</v>
      </c>
      <c r="B3" s="61" t="s">
        <v>127</v>
      </c>
    </row>
    <row r="4" customFormat="false" ht="15" hidden="false" customHeight="false" outlineLevel="0" collapsed="false">
      <c r="A4" s="62" t="s">
        <v>240</v>
      </c>
      <c r="B4" s="62" t="n">
        <v>9</v>
      </c>
    </row>
    <row r="5" customFormat="false" ht="15" hidden="false" customHeight="false" outlineLevel="0" collapsed="false">
      <c r="A5" s="62" t="s">
        <v>241</v>
      </c>
      <c r="B5" s="62" t="n">
        <v>5</v>
      </c>
    </row>
    <row r="6" customFormat="false" ht="15" hidden="false" customHeight="false" outlineLevel="0" collapsed="false">
      <c r="A6" s="62" t="s">
        <v>242</v>
      </c>
      <c r="B6" s="62" t="n">
        <v>2</v>
      </c>
    </row>
    <row r="7" customFormat="false" ht="15" hidden="false" customHeight="false" outlineLevel="0" collapsed="false">
      <c r="A7" s="62" t="s">
        <v>53</v>
      </c>
      <c r="B7" s="62" t="n">
        <v>4</v>
      </c>
    </row>
    <row r="8" customFormat="false" ht="15" hidden="false" customHeight="false" outlineLevel="0" collapsed="false">
      <c r="A8" s="62" t="s">
        <v>40</v>
      </c>
      <c r="B8" s="62" t="n">
        <v>2</v>
      </c>
    </row>
    <row r="9" customFormat="false" ht="15" hidden="false" customHeight="false" outlineLevel="0" collapsed="false">
      <c r="A9" s="62" t="s">
        <v>243</v>
      </c>
      <c r="B9" s="62" t="n">
        <v>1</v>
      </c>
    </row>
    <row r="13" customFormat="false" ht="15" hidden="false" customHeight="false" outlineLevel="0" collapsed="false">
      <c r="A13" s="63" t="s">
        <v>244</v>
      </c>
      <c r="B13" s="63" t="s">
        <v>245</v>
      </c>
    </row>
    <row r="14" customFormat="false" ht="15" hidden="false" customHeight="false" outlineLevel="0" collapsed="false">
      <c r="A14" s="62" t="s">
        <v>246</v>
      </c>
      <c r="B14" s="62" t="n">
        <v>30</v>
      </c>
    </row>
    <row r="15" customFormat="false" ht="15" hidden="false" customHeight="false" outlineLevel="0" collapsed="false">
      <c r="A15" s="62" t="s">
        <v>247</v>
      </c>
      <c r="B15" s="62" t="n">
        <v>82.5</v>
      </c>
    </row>
    <row r="16" customFormat="false" ht="15" hidden="false" customHeight="false" outlineLevel="0" collapsed="false">
      <c r="A16" s="62" t="s">
        <v>248</v>
      </c>
      <c r="B16" s="62" t="n">
        <v>120</v>
      </c>
    </row>
    <row r="17" customFormat="false" ht="15" hidden="false" customHeight="false" outlineLevel="0" collapsed="false">
      <c r="A17" s="62" t="s">
        <v>249</v>
      </c>
      <c r="B17" s="62" t="n">
        <v>75</v>
      </c>
    </row>
    <row r="18" customFormat="false" ht="15" hidden="false" customHeight="false" outlineLevel="0" collapsed="false">
      <c r="A18" s="62" t="s">
        <v>250</v>
      </c>
      <c r="B18" s="62" t="n">
        <v>50</v>
      </c>
    </row>
    <row r="19" customFormat="false" ht="15" hidden="false" customHeight="false" outlineLevel="0" collapsed="false">
      <c r="A19" s="62" t="s">
        <v>251</v>
      </c>
      <c r="B19" s="62" t="n">
        <v>25</v>
      </c>
    </row>
    <row r="22" customFormat="false" ht="15" hidden="false" customHeight="false" outlineLevel="0" collapsed="false">
      <c r="A22" s="61" t="s">
        <v>153</v>
      </c>
      <c r="B22" s="61" t="s">
        <v>156</v>
      </c>
    </row>
    <row r="23" customFormat="false" ht="15" hidden="false" customHeight="false" outlineLevel="0" collapsed="false">
      <c r="A23" s="62" t="s">
        <v>252</v>
      </c>
      <c r="B23" s="62" t="n">
        <v>0</v>
      </c>
    </row>
    <row r="24" customFormat="false" ht="15" hidden="false" customHeight="false" outlineLevel="0" collapsed="false">
      <c r="A24" s="62" t="s">
        <v>253</v>
      </c>
      <c r="B24" s="62" t="n">
        <v>1</v>
      </c>
    </row>
    <row r="25" customFormat="false" ht="15" hidden="false" customHeight="false" outlineLevel="0" collapsed="false">
      <c r="A25" s="62" t="s">
        <v>254</v>
      </c>
      <c r="B25" s="62" t="n">
        <v>1</v>
      </c>
    </row>
    <row r="26" customFormat="false" ht="15" hidden="false" customHeight="false" outlineLevel="0" collapsed="false">
      <c r="A26" s="62" t="s">
        <v>255</v>
      </c>
      <c r="B26" s="62" t="n">
        <v>2</v>
      </c>
    </row>
    <row r="27" customFormat="false" ht="15" hidden="false" customHeight="false" outlineLevel="0" collapsed="false">
      <c r="A27" s="62" t="s">
        <v>256</v>
      </c>
      <c r="B27" s="62" t="n">
        <v>0</v>
      </c>
    </row>
    <row r="29" customFormat="false" ht="42" hidden="false" customHeight="true" outlineLevel="0" collapsed="false">
      <c r="A29" s="64" t="s">
        <v>257</v>
      </c>
      <c r="B29" s="64"/>
      <c r="C29" s="64"/>
    </row>
    <row r="31" customFormat="false" ht="42" hidden="false" customHeight="true" outlineLevel="0" collapsed="false">
      <c r="A31" s="64" t="s">
        <v>258</v>
      </c>
      <c r="B31" s="64"/>
      <c r="C31" s="64"/>
    </row>
  </sheetData>
  <mergeCells count="3">
    <mergeCell ref="A1:H1"/>
    <mergeCell ref="A29:C29"/>
    <mergeCell ref="A31:C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4"/>
    <col collapsed="false" customWidth="true" hidden="false" outlineLevel="0" max="3" min="3" style="0" width="14"/>
    <col collapsed="false" customWidth="true" hidden="false" outlineLevel="0" max="4" min="4" style="0" width="52"/>
    <col collapsed="false" customWidth="true" hidden="false" outlineLevel="0" max="5" min="5" style="0" width="13"/>
    <col collapsed="false" customWidth="true" hidden="false" outlineLevel="0" max="6" min="6" style="0" width="11"/>
    <col collapsed="false" customWidth="true" hidden="false" outlineLevel="0" max="7" min="7" style="0" width="12"/>
    <col collapsed="false" customWidth="true" hidden="false" outlineLevel="0" max="8" min="8" style="0" width="16"/>
  </cols>
  <sheetData>
    <row r="1" customFormat="false" ht="33.75" hidden="false" customHeight="true" outlineLevel="0" collapsed="false">
      <c r="A1" s="1" t="s">
        <v>259</v>
      </c>
      <c r="B1" s="1"/>
      <c r="C1" s="1"/>
      <c r="D1" s="1"/>
      <c r="E1" s="1"/>
      <c r="F1" s="1"/>
      <c r="G1" s="1"/>
      <c r="H1" s="1"/>
    </row>
    <row r="2" customFormat="false" ht="21.75" hidden="false" customHeight="true" outlineLevel="0" collapsed="false">
      <c r="A2" s="2" t="s">
        <v>260</v>
      </c>
      <c r="B2" s="2"/>
      <c r="C2" s="2"/>
      <c r="D2" s="2"/>
      <c r="E2" s="2"/>
      <c r="F2" s="2"/>
      <c r="G2" s="2"/>
      <c r="H2" s="2"/>
    </row>
    <row r="3" customFormat="false" ht="36" hidden="false" customHeight="true" outlineLevel="0" collapsed="false">
      <c r="A3" s="14" t="s">
        <v>261</v>
      </c>
      <c r="B3" s="14" t="s">
        <v>262</v>
      </c>
      <c r="C3" s="14" t="s">
        <v>96</v>
      </c>
      <c r="D3" s="14" t="s">
        <v>263</v>
      </c>
      <c r="E3" s="14" t="s">
        <v>264</v>
      </c>
      <c r="F3" s="14" t="s">
        <v>265</v>
      </c>
      <c r="G3" s="14" t="s">
        <v>266</v>
      </c>
      <c r="H3" s="14" t="s">
        <v>130</v>
      </c>
    </row>
    <row r="4" customFormat="false" ht="33.75" hidden="false" customHeight="true" outlineLevel="0" collapsed="false">
      <c r="A4" s="17" t="s">
        <v>267</v>
      </c>
      <c r="B4" s="21" t="s">
        <v>268</v>
      </c>
      <c r="C4" s="65" t="s">
        <v>269</v>
      </c>
      <c r="D4" s="21" t="s">
        <v>270</v>
      </c>
      <c r="E4" s="8" t="n">
        <v>3</v>
      </c>
      <c r="F4" s="8" t="n">
        <v>3</v>
      </c>
      <c r="G4" s="66" t="n">
        <f aca="false">E4*F4</f>
        <v>9</v>
      </c>
      <c r="H4" s="67" t="s">
        <v>133</v>
      </c>
    </row>
    <row r="5" customFormat="false" ht="33.75" hidden="false" customHeight="true" outlineLevel="0" collapsed="false">
      <c r="A5" s="19" t="s">
        <v>271</v>
      </c>
      <c r="B5" s="24" t="s">
        <v>272</v>
      </c>
      <c r="C5" s="65" t="s">
        <v>269</v>
      </c>
      <c r="D5" s="24" t="s">
        <v>273</v>
      </c>
      <c r="E5" s="10" t="n">
        <v>3</v>
      </c>
      <c r="F5" s="10" t="n">
        <v>3</v>
      </c>
      <c r="G5" s="66" t="n">
        <f aca="false">E5*F5</f>
        <v>9</v>
      </c>
      <c r="H5" s="67" t="s">
        <v>133</v>
      </c>
    </row>
    <row r="6" customFormat="false" ht="33.75" hidden="false" customHeight="true" outlineLevel="0" collapsed="false">
      <c r="A6" s="17" t="s">
        <v>274</v>
      </c>
      <c r="B6" s="21" t="s">
        <v>275</v>
      </c>
      <c r="C6" s="65" t="s">
        <v>269</v>
      </c>
      <c r="D6" s="21" t="s">
        <v>276</v>
      </c>
      <c r="E6" s="8" t="n">
        <v>3</v>
      </c>
      <c r="F6" s="8" t="n">
        <v>2</v>
      </c>
      <c r="G6" s="68" t="n">
        <f aca="false">E6*F6</f>
        <v>6</v>
      </c>
      <c r="H6" s="69" t="s">
        <v>143</v>
      </c>
    </row>
    <row r="7" customFormat="false" ht="33.75" hidden="false" customHeight="true" outlineLevel="0" collapsed="false">
      <c r="A7" s="19" t="s">
        <v>277</v>
      </c>
      <c r="B7" s="24" t="s">
        <v>278</v>
      </c>
      <c r="C7" s="25" t="s">
        <v>279</v>
      </c>
      <c r="D7" s="24" t="s">
        <v>280</v>
      </c>
      <c r="E7" s="10" t="n">
        <v>3</v>
      </c>
      <c r="F7" s="10" t="n">
        <v>3</v>
      </c>
      <c r="G7" s="66" t="n">
        <f aca="false">E7*F7</f>
        <v>9</v>
      </c>
      <c r="H7" s="67" t="s">
        <v>133</v>
      </c>
    </row>
    <row r="8" customFormat="false" ht="33.75" hidden="false" customHeight="true" outlineLevel="0" collapsed="false">
      <c r="A8" s="17" t="s">
        <v>281</v>
      </c>
      <c r="B8" s="21" t="s">
        <v>282</v>
      </c>
      <c r="C8" s="25" t="s">
        <v>279</v>
      </c>
      <c r="D8" s="21" t="s">
        <v>283</v>
      </c>
      <c r="E8" s="8" t="n">
        <v>3</v>
      </c>
      <c r="F8" s="8" t="n">
        <v>3</v>
      </c>
      <c r="G8" s="66" t="n">
        <f aca="false">E8*F8</f>
        <v>9</v>
      </c>
      <c r="H8" s="67" t="s">
        <v>133</v>
      </c>
    </row>
    <row r="9" customFormat="false" ht="33.75" hidden="false" customHeight="true" outlineLevel="0" collapsed="false">
      <c r="A9" s="19" t="s">
        <v>284</v>
      </c>
      <c r="B9" s="24" t="s">
        <v>285</v>
      </c>
      <c r="C9" s="25" t="s">
        <v>279</v>
      </c>
      <c r="D9" s="24" t="s">
        <v>286</v>
      </c>
      <c r="E9" s="10" t="n">
        <v>3</v>
      </c>
      <c r="F9" s="10" t="n">
        <v>2</v>
      </c>
      <c r="G9" s="68" t="n">
        <f aca="false">E9*F9</f>
        <v>6</v>
      </c>
      <c r="H9" s="69" t="s">
        <v>143</v>
      </c>
    </row>
    <row r="10" customFormat="false" ht="33.75" hidden="false" customHeight="true" outlineLevel="0" collapsed="false">
      <c r="A10" s="17" t="s">
        <v>287</v>
      </c>
      <c r="B10" s="21" t="s">
        <v>288</v>
      </c>
      <c r="C10" s="65" t="s">
        <v>269</v>
      </c>
      <c r="D10" s="21" t="s">
        <v>289</v>
      </c>
      <c r="E10" s="8" t="n">
        <v>2</v>
      </c>
      <c r="F10" s="8" t="n">
        <v>3</v>
      </c>
      <c r="G10" s="68" t="n">
        <f aca="false">E10*F10</f>
        <v>6</v>
      </c>
      <c r="H10" s="69" t="s">
        <v>143</v>
      </c>
    </row>
    <row r="11" customFormat="false" ht="33.75" hidden="false" customHeight="true" outlineLevel="0" collapsed="false">
      <c r="A11" s="19" t="s">
        <v>290</v>
      </c>
      <c r="B11" s="24" t="s">
        <v>291</v>
      </c>
      <c r="C11" s="65" t="s">
        <v>269</v>
      </c>
      <c r="D11" s="24" t="s">
        <v>292</v>
      </c>
      <c r="E11" s="10" t="n">
        <v>2</v>
      </c>
      <c r="F11" s="10" t="n">
        <v>2</v>
      </c>
      <c r="G11" s="68" t="n">
        <f aca="false">E11*F11</f>
        <v>4</v>
      </c>
      <c r="H11" s="69" t="s">
        <v>143</v>
      </c>
    </row>
    <row r="12" customFormat="false" ht="33.75" hidden="false" customHeight="true" outlineLevel="0" collapsed="false">
      <c r="A12" s="17" t="s">
        <v>293</v>
      </c>
      <c r="B12" s="21" t="s">
        <v>294</v>
      </c>
      <c r="C12" s="65" t="s">
        <v>269</v>
      </c>
      <c r="D12" s="21" t="s">
        <v>295</v>
      </c>
      <c r="E12" s="8" t="n">
        <v>2</v>
      </c>
      <c r="F12" s="8" t="n">
        <v>2</v>
      </c>
      <c r="G12" s="68" t="n">
        <f aca="false">E12*F12</f>
        <v>4</v>
      </c>
      <c r="H12" s="69" t="s">
        <v>143</v>
      </c>
    </row>
    <row r="13" customFormat="false" ht="33.75" hidden="false" customHeight="true" outlineLevel="0" collapsed="false">
      <c r="A13" s="19" t="s">
        <v>296</v>
      </c>
      <c r="B13" s="24" t="s">
        <v>297</v>
      </c>
      <c r="C13" s="25" t="s">
        <v>279</v>
      </c>
      <c r="D13" s="24" t="s">
        <v>298</v>
      </c>
      <c r="E13" s="10" t="n">
        <v>2</v>
      </c>
      <c r="F13" s="10" t="n">
        <v>2</v>
      </c>
      <c r="G13" s="68" t="n">
        <f aca="false">E13*F13</f>
        <v>4</v>
      </c>
      <c r="H13" s="69" t="s">
        <v>143</v>
      </c>
    </row>
    <row r="14" customFormat="false" ht="33.75" hidden="false" customHeight="true" outlineLevel="0" collapsed="false">
      <c r="A14" s="17" t="s">
        <v>299</v>
      </c>
      <c r="B14" s="21" t="s">
        <v>300</v>
      </c>
      <c r="C14" s="25" t="s">
        <v>279</v>
      </c>
      <c r="D14" s="21" t="s">
        <v>301</v>
      </c>
      <c r="E14" s="8" t="n">
        <v>3</v>
      </c>
      <c r="F14" s="8" t="n">
        <v>2</v>
      </c>
      <c r="G14" s="68" t="n">
        <f aca="false">E14*F14</f>
        <v>6</v>
      </c>
      <c r="H14" s="69" t="s">
        <v>143</v>
      </c>
    </row>
    <row r="15" customFormat="false" ht="33.75" hidden="false" customHeight="true" outlineLevel="0" collapsed="false">
      <c r="A15" s="19" t="s">
        <v>302</v>
      </c>
      <c r="B15" s="24" t="s">
        <v>303</v>
      </c>
      <c r="C15" s="65" t="s">
        <v>269</v>
      </c>
      <c r="D15" s="24" t="s">
        <v>304</v>
      </c>
      <c r="E15" s="10" t="n">
        <v>2</v>
      </c>
      <c r="F15" s="10" t="n">
        <v>1</v>
      </c>
      <c r="G15" s="70" t="n">
        <f aca="false">E15*F15</f>
        <v>2</v>
      </c>
      <c r="H15" s="71" t="s">
        <v>305</v>
      </c>
    </row>
    <row r="16" customFormat="false" ht="33.75" hidden="false" customHeight="true" outlineLevel="0" collapsed="false">
      <c r="A16" s="17" t="s">
        <v>306</v>
      </c>
      <c r="B16" s="21" t="s">
        <v>307</v>
      </c>
      <c r="C16" s="25" t="s">
        <v>279</v>
      </c>
      <c r="D16" s="21" t="s">
        <v>308</v>
      </c>
      <c r="E16" s="8" t="n">
        <v>2</v>
      </c>
      <c r="F16" s="8" t="n">
        <v>2</v>
      </c>
      <c r="G16" s="68" t="n">
        <f aca="false">E16*F16</f>
        <v>4</v>
      </c>
      <c r="H16" s="69" t="s">
        <v>143</v>
      </c>
    </row>
    <row r="17" customFormat="false" ht="33.75" hidden="false" customHeight="true" outlineLevel="0" collapsed="false">
      <c r="A17" s="19" t="s">
        <v>309</v>
      </c>
      <c r="B17" s="24" t="s">
        <v>310</v>
      </c>
      <c r="C17" s="65" t="s">
        <v>269</v>
      </c>
      <c r="D17" s="24" t="s">
        <v>311</v>
      </c>
      <c r="E17" s="10" t="n">
        <v>1</v>
      </c>
      <c r="F17" s="10" t="n">
        <v>1</v>
      </c>
      <c r="G17" s="70" t="n">
        <f aca="false">E17*F17</f>
        <v>1</v>
      </c>
      <c r="H17" s="71" t="s">
        <v>305</v>
      </c>
    </row>
    <row r="18" customFormat="false" ht="33.75" hidden="false" customHeight="true" outlineLevel="0" collapsed="false">
      <c r="A18" s="17" t="s">
        <v>312</v>
      </c>
      <c r="B18" s="21" t="s">
        <v>313</v>
      </c>
      <c r="C18" s="25" t="s">
        <v>279</v>
      </c>
      <c r="D18" s="21" t="s">
        <v>314</v>
      </c>
      <c r="E18" s="8" t="n">
        <v>1</v>
      </c>
      <c r="F18" s="8" t="n">
        <v>1</v>
      </c>
      <c r="G18" s="70" t="n">
        <f aca="false">E18*F18</f>
        <v>1</v>
      </c>
      <c r="H18" s="71" t="s">
        <v>305</v>
      </c>
    </row>
    <row r="19" customFormat="false" ht="33.75" hidden="false" customHeight="true" outlineLevel="0" collapsed="false">
      <c r="A19" s="19" t="s">
        <v>315</v>
      </c>
      <c r="B19" s="24" t="s">
        <v>316</v>
      </c>
      <c r="C19" s="25" t="s">
        <v>279</v>
      </c>
      <c r="D19" s="24" t="s">
        <v>317</v>
      </c>
      <c r="E19" s="10" t="n">
        <v>2</v>
      </c>
      <c r="F19" s="10" t="n">
        <v>2</v>
      </c>
      <c r="G19" s="68" t="n">
        <f aca="false">E19*F19</f>
        <v>4</v>
      </c>
      <c r="H19" s="69" t="s">
        <v>143</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54"/>
    <col collapsed="false" customWidth="true" hidden="false" outlineLevel="0" max="4" min="4" style="0" width="14"/>
    <col collapsed="false" customWidth="true" hidden="false" outlineLevel="0" max="5" min="5" style="0" width="50"/>
    <col collapsed="false" customWidth="true" hidden="false" outlineLevel="0" max="6" min="6" style="0" width="16"/>
    <col collapsed="false" customWidth="true" hidden="false" outlineLevel="0" max="7" min="7" style="0" width="18"/>
  </cols>
  <sheetData>
    <row r="1" customFormat="false" ht="33.75" hidden="false" customHeight="true" outlineLevel="0" collapsed="false">
      <c r="A1" s="1" t="s">
        <v>318</v>
      </c>
      <c r="B1" s="1"/>
      <c r="C1" s="1"/>
      <c r="D1" s="1"/>
      <c r="E1" s="1"/>
      <c r="F1" s="1"/>
      <c r="G1" s="1"/>
    </row>
    <row r="2" customFormat="false" ht="21.75" hidden="false" customHeight="true" outlineLevel="0" collapsed="false">
      <c r="A2" s="2" t="s">
        <v>319</v>
      </c>
      <c r="B2" s="2"/>
      <c r="C2" s="2"/>
      <c r="D2" s="2"/>
      <c r="E2" s="2"/>
      <c r="F2" s="2"/>
      <c r="G2" s="2"/>
    </row>
    <row r="3" customFormat="false" ht="36" hidden="false" customHeight="true" outlineLevel="0" collapsed="false">
      <c r="A3" s="14" t="s">
        <v>261</v>
      </c>
      <c r="B3" s="14" t="s">
        <v>35</v>
      </c>
      <c r="C3" s="14" t="s">
        <v>320</v>
      </c>
      <c r="D3" s="14" t="s">
        <v>96</v>
      </c>
      <c r="E3" s="14" t="s">
        <v>321</v>
      </c>
      <c r="F3" s="14" t="s">
        <v>322</v>
      </c>
      <c r="G3" s="14" t="s">
        <v>130</v>
      </c>
    </row>
    <row r="4" customFormat="false" ht="49.5" hidden="false" customHeight="true" outlineLevel="0" collapsed="false">
      <c r="A4" s="72" t="s">
        <v>267</v>
      </c>
      <c r="B4" s="21" t="s">
        <v>323</v>
      </c>
      <c r="C4" s="21" t="s">
        <v>324</v>
      </c>
      <c r="D4" s="73" t="s">
        <v>269</v>
      </c>
      <c r="E4" s="21" t="s">
        <v>325</v>
      </c>
      <c r="F4" s="9" t="s">
        <v>326</v>
      </c>
      <c r="G4" s="74" t="s">
        <v>133</v>
      </c>
    </row>
    <row r="5" customFormat="false" ht="49.5" hidden="false" customHeight="true" outlineLevel="0" collapsed="false">
      <c r="A5" s="75" t="s">
        <v>271</v>
      </c>
      <c r="B5" s="24" t="s">
        <v>327</v>
      </c>
      <c r="C5" s="24" t="s">
        <v>328</v>
      </c>
      <c r="D5" s="73" t="s">
        <v>269</v>
      </c>
      <c r="E5" s="24" t="s">
        <v>329</v>
      </c>
      <c r="F5" s="11" t="s">
        <v>330</v>
      </c>
      <c r="G5" s="74" t="s">
        <v>133</v>
      </c>
    </row>
    <row r="6" customFormat="false" ht="49.5" hidden="false" customHeight="true" outlineLevel="0" collapsed="false">
      <c r="A6" s="72" t="s">
        <v>274</v>
      </c>
      <c r="B6" s="21" t="s">
        <v>331</v>
      </c>
      <c r="C6" s="21" t="s">
        <v>332</v>
      </c>
      <c r="D6" s="73" t="s">
        <v>269</v>
      </c>
      <c r="E6" s="21" t="s">
        <v>333</v>
      </c>
      <c r="F6" s="9" t="s">
        <v>330</v>
      </c>
      <c r="G6" s="74" t="s">
        <v>133</v>
      </c>
    </row>
    <row r="7" customFormat="false" ht="49.5" hidden="false" customHeight="true" outlineLevel="0" collapsed="false">
      <c r="A7" s="75" t="s">
        <v>287</v>
      </c>
      <c r="B7" s="24" t="s">
        <v>288</v>
      </c>
      <c r="C7" s="24" t="s">
        <v>334</v>
      </c>
      <c r="D7" s="73" t="s">
        <v>269</v>
      </c>
      <c r="E7" s="24" t="s">
        <v>335</v>
      </c>
      <c r="F7" s="11" t="s">
        <v>336</v>
      </c>
      <c r="G7" s="76" t="s">
        <v>143</v>
      </c>
    </row>
    <row r="8" customFormat="false" ht="49.5" hidden="false" customHeight="true" outlineLevel="0" collapsed="false">
      <c r="A8" s="72" t="s">
        <v>290</v>
      </c>
      <c r="B8" s="21" t="s">
        <v>291</v>
      </c>
      <c r="C8" s="21" t="s">
        <v>337</v>
      </c>
      <c r="D8" s="73" t="s">
        <v>269</v>
      </c>
      <c r="E8" s="21" t="s">
        <v>338</v>
      </c>
      <c r="F8" s="9" t="s">
        <v>339</v>
      </c>
      <c r="G8" s="76" t="s">
        <v>143</v>
      </c>
    </row>
    <row r="9" customFormat="false" ht="49.5" hidden="false" customHeight="true" outlineLevel="0" collapsed="false">
      <c r="A9" s="75" t="s">
        <v>293</v>
      </c>
      <c r="B9" s="24" t="s">
        <v>340</v>
      </c>
      <c r="C9" s="24" t="s">
        <v>341</v>
      </c>
      <c r="D9" s="73" t="s">
        <v>269</v>
      </c>
      <c r="E9" s="24" t="s">
        <v>342</v>
      </c>
      <c r="F9" s="11" t="s">
        <v>326</v>
      </c>
      <c r="G9" s="76" t="s">
        <v>143</v>
      </c>
    </row>
    <row r="10" customFormat="false" ht="49.5" hidden="false" customHeight="true" outlineLevel="0" collapsed="false">
      <c r="A10" s="72" t="s">
        <v>302</v>
      </c>
      <c r="B10" s="21" t="s">
        <v>303</v>
      </c>
      <c r="C10" s="21" t="s">
        <v>343</v>
      </c>
      <c r="D10" s="73" t="s">
        <v>269</v>
      </c>
      <c r="E10" s="21" t="s">
        <v>344</v>
      </c>
      <c r="F10" s="9" t="s">
        <v>336</v>
      </c>
      <c r="G10" s="77" t="s">
        <v>305</v>
      </c>
    </row>
    <row r="11" customFormat="false" ht="49.5" hidden="false" customHeight="true" outlineLevel="0" collapsed="false">
      <c r="A11" s="75" t="s">
        <v>309</v>
      </c>
      <c r="B11" s="24" t="s">
        <v>310</v>
      </c>
      <c r="C11" s="24" t="s">
        <v>345</v>
      </c>
      <c r="D11" s="73" t="s">
        <v>269</v>
      </c>
      <c r="E11" s="24" t="s">
        <v>346</v>
      </c>
      <c r="F11" s="11" t="s">
        <v>347</v>
      </c>
      <c r="G11" s="77" t="s">
        <v>305</v>
      </c>
    </row>
    <row r="12" customFormat="false" ht="49.5" hidden="false" customHeight="true" outlineLevel="0" collapsed="false">
      <c r="A12" s="72" t="s">
        <v>277</v>
      </c>
      <c r="B12" s="21" t="s">
        <v>278</v>
      </c>
      <c r="C12" s="21" t="s">
        <v>348</v>
      </c>
      <c r="D12" s="78" t="s">
        <v>279</v>
      </c>
      <c r="E12" s="21" t="s">
        <v>349</v>
      </c>
      <c r="F12" s="9" t="s">
        <v>350</v>
      </c>
      <c r="G12" s="74" t="s">
        <v>133</v>
      </c>
    </row>
    <row r="13" customFormat="false" ht="49.5" hidden="false" customHeight="true" outlineLevel="0" collapsed="false">
      <c r="A13" s="75" t="s">
        <v>281</v>
      </c>
      <c r="B13" s="24" t="s">
        <v>282</v>
      </c>
      <c r="C13" s="24" t="s">
        <v>351</v>
      </c>
      <c r="D13" s="78" t="s">
        <v>279</v>
      </c>
      <c r="E13" s="24" t="s">
        <v>352</v>
      </c>
      <c r="F13" s="11" t="s">
        <v>353</v>
      </c>
      <c r="G13" s="74" t="s">
        <v>133</v>
      </c>
    </row>
    <row r="14" customFormat="false" ht="49.5" hidden="false" customHeight="true" outlineLevel="0" collapsed="false">
      <c r="A14" s="72" t="s">
        <v>296</v>
      </c>
      <c r="B14" s="21" t="s">
        <v>354</v>
      </c>
      <c r="C14" s="21" t="s">
        <v>355</v>
      </c>
      <c r="D14" s="78" t="s">
        <v>279</v>
      </c>
      <c r="E14" s="21" t="s">
        <v>356</v>
      </c>
      <c r="F14" s="9" t="s">
        <v>357</v>
      </c>
      <c r="G14" s="76" t="s">
        <v>143</v>
      </c>
    </row>
    <row r="15" customFormat="false" ht="49.5" hidden="false" customHeight="true" outlineLevel="0" collapsed="false">
      <c r="A15" s="75" t="s">
        <v>284</v>
      </c>
      <c r="B15" s="24" t="s">
        <v>285</v>
      </c>
      <c r="C15" s="24" t="s">
        <v>358</v>
      </c>
      <c r="D15" s="78" t="s">
        <v>279</v>
      </c>
      <c r="E15" s="24" t="s">
        <v>359</v>
      </c>
      <c r="F15" s="11" t="s">
        <v>360</v>
      </c>
      <c r="G15" s="74" t="s">
        <v>133</v>
      </c>
    </row>
    <row r="16" customFormat="false" ht="49.5" hidden="false" customHeight="true" outlineLevel="0" collapsed="false">
      <c r="A16" s="72" t="s">
        <v>299</v>
      </c>
      <c r="B16" s="21" t="s">
        <v>300</v>
      </c>
      <c r="C16" s="21" t="s">
        <v>361</v>
      </c>
      <c r="D16" s="78" t="s">
        <v>279</v>
      </c>
      <c r="E16" s="21" t="s">
        <v>362</v>
      </c>
      <c r="F16" s="9" t="s">
        <v>363</v>
      </c>
      <c r="G16" s="74" t="s">
        <v>133</v>
      </c>
    </row>
    <row r="17" customFormat="false" ht="49.5" hidden="false" customHeight="true" outlineLevel="0" collapsed="false">
      <c r="A17" s="75" t="s">
        <v>306</v>
      </c>
      <c r="B17" s="24" t="s">
        <v>307</v>
      </c>
      <c r="C17" s="24" t="s">
        <v>364</v>
      </c>
      <c r="D17" s="78" t="s">
        <v>279</v>
      </c>
      <c r="E17" s="24" t="s">
        <v>365</v>
      </c>
      <c r="F17" s="11" t="s">
        <v>366</v>
      </c>
      <c r="G17" s="76" t="s">
        <v>143</v>
      </c>
    </row>
    <row r="18" customFormat="false" ht="49.5" hidden="false" customHeight="true" outlineLevel="0" collapsed="false">
      <c r="A18" s="72" t="s">
        <v>312</v>
      </c>
      <c r="B18" s="21" t="s">
        <v>367</v>
      </c>
      <c r="C18" s="21" t="s">
        <v>368</v>
      </c>
      <c r="D18" s="78" t="s">
        <v>279</v>
      </c>
      <c r="E18" s="21" t="s">
        <v>362</v>
      </c>
      <c r="F18" s="9" t="s">
        <v>369</v>
      </c>
      <c r="G18" s="77" t="s">
        <v>305</v>
      </c>
    </row>
    <row r="19" customFormat="false" ht="49.5" hidden="false" customHeight="true" outlineLevel="0" collapsed="false">
      <c r="A19" s="75" t="s">
        <v>315</v>
      </c>
      <c r="B19" s="24" t="s">
        <v>316</v>
      </c>
      <c r="C19" s="24" t="s">
        <v>370</v>
      </c>
      <c r="D19" s="78" t="s">
        <v>279</v>
      </c>
      <c r="E19" s="24" t="s">
        <v>371</v>
      </c>
      <c r="F19" s="11" t="s">
        <v>372</v>
      </c>
      <c r="G19" s="76" t="s">
        <v>143</v>
      </c>
    </row>
    <row r="21" customFormat="false" ht="25.5" hidden="false" customHeight="true" outlineLevel="0" collapsed="false">
      <c r="A21" s="79" t="s">
        <v>373</v>
      </c>
      <c r="B21" s="79"/>
      <c r="C21" s="79"/>
      <c r="D21" s="79"/>
      <c r="E21" s="79"/>
      <c r="F21" s="79"/>
      <c r="G21" s="79"/>
    </row>
    <row r="22" customFormat="false" ht="21.75" hidden="false" customHeight="true" outlineLevel="0" collapsed="false">
      <c r="A22" s="80" t="s">
        <v>374</v>
      </c>
      <c r="B22" s="80"/>
      <c r="C22" s="80"/>
      <c r="D22" s="80"/>
      <c r="E22" s="80"/>
      <c r="F22" s="80"/>
      <c r="G22" s="81" t="n">
        <f aca="false">COUNTIFS(D4:D20,"Funcional",G4:G20,"Must Have 🔴")</f>
        <v>3</v>
      </c>
    </row>
    <row r="23" customFormat="false" ht="21.75" hidden="false" customHeight="true" outlineLevel="0" collapsed="false">
      <c r="A23" s="80" t="s">
        <v>375</v>
      </c>
      <c r="B23" s="80"/>
      <c r="C23" s="80"/>
      <c r="D23" s="80"/>
      <c r="E23" s="80"/>
      <c r="F23" s="80"/>
      <c r="G23" s="81" t="n">
        <f aca="false">COUNTIFS(D4:D20,"Funcional",G4:G20,"Should Have 🟠")</f>
        <v>3</v>
      </c>
    </row>
    <row r="24" customFormat="false" ht="21.75" hidden="false" customHeight="true" outlineLevel="0" collapsed="false">
      <c r="A24" s="80" t="s">
        <v>376</v>
      </c>
      <c r="B24" s="80"/>
      <c r="C24" s="80"/>
      <c r="D24" s="80"/>
      <c r="E24" s="80"/>
      <c r="F24" s="80"/>
      <c r="G24" s="81" t="n">
        <f aca="false">COUNTIFS(D4:D20,"Funcional",G4:G20,"Could Have 🟡")</f>
        <v>2</v>
      </c>
    </row>
    <row r="25" customFormat="false" ht="21.75" hidden="false" customHeight="true" outlineLevel="0" collapsed="false">
      <c r="A25" s="80" t="s">
        <v>377</v>
      </c>
      <c r="B25" s="80"/>
      <c r="C25" s="80"/>
      <c r="D25" s="80"/>
      <c r="E25" s="80"/>
      <c r="F25" s="80"/>
      <c r="G25" s="81" t="n">
        <f aca="false">COUNTIFS(D4:D20,"No Funcional",G4:G20,"Must Have 🔴")</f>
        <v>4</v>
      </c>
    </row>
    <row r="26" customFormat="false" ht="21.75" hidden="false" customHeight="true" outlineLevel="0" collapsed="false">
      <c r="A26" s="80" t="s">
        <v>378</v>
      </c>
      <c r="B26" s="80"/>
      <c r="C26" s="80"/>
      <c r="D26" s="80"/>
      <c r="E26" s="80"/>
      <c r="F26" s="80"/>
      <c r="G26" s="81" t="n">
        <f aca="false">COUNTIFS(D4:D20,"No Funcional",G4:G20,"Should Have 🟠")+COUNTIFS(D4:D20,"No Funcional",G4:G20,"Could Have 🟡")</f>
        <v>4</v>
      </c>
    </row>
    <row r="27" customFormat="false" ht="21.75" hidden="false" customHeight="true" outlineLevel="0" collapsed="false">
      <c r="A27" s="80" t="s">
        <v>379</v>
      </c>
      <c r="B27" s="80"/>
      <c r="C27" s="80"/>
      <c r="D27" s="80"/>
      <c r="E27" s="80"/>
      <c r="F27" s="80"/>
      <c r="G27" s="81" t="n">
        <f aca="false">COUNTA(A4:A20)</f>
        <v>16</v>
      </c>
    </row>
  </sheetData>
  <mergeCells count="9">
    <mergeCell ref="A1:G1"/>
    <mergeCell ref="A2:G2"/>
    <mergeCell ref="A21:G21"/>
    <mergeCell ref="A22:F22"/>
    <mergeCell ref="A23:F23"/>
    <mergeCell ref="A24:F24"/>
    <mergeCell ref="A25:F25"/>
    <mergeCell ref="A26:F26"/>
    <mergeCell ref="A27:F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2026-04-13T21:34:02Z</dcterms:created>
  <dc:creator>openpyxl</dc:creator>
  <dc:description/>
  <dc:language>en-US</dc:language>
  <cp:lastModifiedBy/>
  <dcterms:modified xsi:type="dcterms:W3CDTF">2026-04-13T21:34:06Z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